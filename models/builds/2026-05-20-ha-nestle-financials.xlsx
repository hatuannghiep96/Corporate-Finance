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Balance Sheet" sheetId="2" state="visible" r:id="rId4"/>
    <sheet name="Income Statement" sheetId="3" state="visible" r:id="rId5"/>
    <sheet name="Cash Flow Statement" sheetId="4" state="visible" r:id="rId6"/>
    <sheet name="Ratios" sheetId="5" state="visible" r:id="rId7"/>
    <sheet name="Notes" sheetId="6" state="visible" r:id="rId8"/>
  </sheets>
  <definedNames>
    <definedName function="false" hidden="false" name="avg_equity" vbProcedure="false">Ratios!$C$36</definedName>
    <definedName function="false" hidden="false" name="avg_total_assets" vbProcedure="false">Ratios!$C$37</definedName>
    <definedName function="false" hidden="false" name="avg_total_capitalization" vbProcedure="false">Ratios!$C$38</definedName>
    <definedName function="false" hidden="false" name="BAL_accounts_payable_curr" vbProcedure="false">'Balance Sheet'!$G$8</definedName>
    <definedName function="false" hidden="false" name="BAL_accounts_payable_prior" vbProcedure="false">'Balance Sheet'!$H$8</definedName>
    <definedName function="false" hidden="false" name="BAL_accumulated_depreciation_curr" vbProcedure="false">'Balance Sheet'!$C$15</definedName>
    <definedName function="false" hidden="false" name="BAL_accumulated_depreciation_prior" vbProcedure="false">'Balance Sheet'!$D$15</definedName>
    <definedName function="false" hidden="false" name="BAL_assets_current_curr" vbProcedure="false">'Balance Sheet'!$C$11</definedName>
    <definedName function="false" hidden="false" name="BAL_assets_current_prior" vbProcedure="false">'Balance Sheet'!$D$11</definedName>
    <definedName function="false" hidden="false" name="BAL_assets_total_curr" vbProcedure="false">'Balance Sheet'!$C$23</definedName>
    <definedName function="false" hidden="false" name="BAL_assets_total_prior" vbProcedure="false">'Balance Sheet'!$D$23</definedName>
    <definedName function="false" hidden="false" name="BAL_cash_marketable_securities_curr" vbProcedure="false">'Balance Sheet'!$C$7</definedName>
    <definedName function="false" hidden="false" name="BAL_cash_marketable_securities_prior" vbProcedure="false">'Balance Sheet'!$D$7</definedName>
    <definedName function="false" hidden="false" name="BAL_common_stock_curr" vbProcedure="false">'Balance Sheet'!$G$18</definedName>
    <definedName function="false" hidden="false" name="BAL_common_stock_prior" vbProcedure="false">'Balance Sheet'!$H$18</definedName>
    <definedName function="false" hidden="false" name="BAL_debt_long_term_curr" vbProcedure="false">'Balance Sheet'!$G$12</definedName>
    <definedName function="false" hidden="false" name="BAL_debt_long_term_prior" vbProcedure="false">'Balance Sheet'!$H$12</definedName>
    <definedName function="false" hidden="false" name="BAL_debt_short_term_curr" vbProcedure="false">'Balance Sheet'!$G$7</definedName>
    <definedName function="false" hidden="false" name="BAL_debt_short_term_prior" vbProcedure="false">'Balance Sheet'!$H$7</definedName>
    <definedName function="false" hidden="false" name="BAL_equity_shareholders_curr" vbProcedure="false">'Balance Sheet'!$G$20</definedName>
    <definedName function="false" hidden="false" name="BAL_equity_shareholders_prior" vbProcedure="false">'Balance Sheet'!$H$20</definedName>
    <definedName function="false" hidden="false" name="BAL_fixed_assets_net_curr" vbProcedure="false">'Balance Sheet'!$C$16</definedName>
    <definedName function="false" hidden="false" name="BAL_fixed_assets_net_prior" vbProcedure="false">'Balance Sheet'!$D$16</definedName>
    <definedName function="false" hidden="false" name="BAL_intangibles_curr" vbProcedure="false">'Balance Sheet'!$C$19</definedName>
    <definedName function="false" hidden="false" name="BAL_intangibles_prior" vbProcedure="false">'Balance Sheet'!$D$19</definedName>
    <definedName function="false" hidden="false" name="BAL_inventories_curr" vbProcedure="false">'Balance Sheet'!$C$9</definedName>
    <definedName function="false" hidden="false" name="BAL_inventories_prior" vbProcedure="false">'Balance Sheet'!$D$9</definedName>
    <definedName function="false" hidden="false" name="BAL_liabilities_current_curr" vbProcedure="false">'Balance Sheet'!$G$10</definedName>
    <definedName function="false" hidden="false" name="BAL_liabilities_current_prior" vbProcedure="false">'Balance Sheet'!$H$10</definedName>
    <definedName function="false" hidden="false" name="BAL_liabilities_total_curr" vbProcedure="false">'Balance Sheet'!$G$15</definedName>
    <definedName function="false" hidden="false" name="BAL_liabilities_total_prior" vbProcedure="false">'Balance Sheet'!$H$15</definedName>
    <definedName function="false" hidden="false" name="BAL_other_assets_curr" vbProcedure="false">'Balance Sheet'!$C$20</definedName>
    <definedName function="false" hidden="false" name="BAL_other_assets_prior" vbProcedure="false">'Balance Sheet'!$D$20</definedName>
    <definedName function="false" hidden="false" name="BAL_other_current_assets_curr" vbProcedure="false">'Balance Sheet'!$C$10</definedName>
    <definedName function="false" hidden="false" name="BAL_other_current_assets_prior" vbProcedure="false">'Balance Sheet'!$D$10</definedName>
    <definedName function="false" hidden="false" name="BAL_other_current_liabilities_curr" vbProcedure="false">'Balance Sheet'!$G$9</definedName>
    <definedName function="false" hidden="false" name="BAL_other_current_liabilities_prior" vbProcedure="false">'Balance Sheet'!$H$9</definedName>
    <definedName function="false" hidden="false" name="BAL_other_long_term_liabilities_curr" vbProcedure="false">'Balance Sheet'!$G$13</definedName>
    <definedName function="false" hidden="false" name="BAL_other_long_term_liabilities_prior" vbProcedure="false">'Balance Sheet'!$H$13</definedName>
    <definedName function="false" hidden="false" name="BAL_ppe_gross_curr" vbProcedure="false">'Balance Sheet'!$C$14</definedName>
    <definedName function="false" hidden="false" name="BAL_ppe_gross_prior" vbProcedure="false">'Balance Sheet'!$D$14</definedName>
    <definedName function="false" hidden="false" name="BAL_receivables_curr" vbProcedure="false">'Balance Sheet'!$C$8</definedName>
    <definedName function="false" hidden="false" name="BAL_receivables_prior" vbProcedure="false">'Balance Sheet'!$D$8</definedName>
    <definedName function="false" hidden="false" name="BAL_retained_earnings_curr" vbProcedure="false">'Balance Sheet'!$G$19</definedName>
    <definedName function="false" hidden="false" name="BAL_retained_earnings_prior" vbProcedure="false">'Balance Sheet'!$H$19</definedName>
    <definedName function="false" hidden="false" name="CASH_investments" vbProcedure="false">'Cash Flow Statement'!$C$22</definedName>
    <definedName function="false" hidden="false" name="CASH_operating" vbProcedure="false">'Cash Flow Statement'!$C$16</definedName>
    <definedName function="false" hidden="false" name="cost_capital" vbProcedure="false">Ratios!$C$10</definedName>
    <definedName function="false" hidden="false" name="currentYear_after_tax_operating_income" vbProcedure="false">Ratios!$C$22</definedName>
    <definedName function="false" hidden="false" name="currentYear_assets_current" vbProcedure="false">Ratios!$C$26</definedName>
    <definedName function="false" hidden="false" name="currentYear_assets_total" vbProcedure="false">Ratios!$C$31</definedName>
    <definedName function="false" hidden="false" name="currentYear_cash_marketable_securities" vbProcedure="false">Ratios!$C$25</definedName>
    <definedName function="false" hidden="false" name="currentYear_cost_goods_sold_daily" vbProcedure="false">Ratios!$C$28</definedName>
    <definedName function="false" hidden="false" name="currentYear_daily_sales_average" vbProcedure="false">Ratios!$C$23</definedName>
    <definedName function="false" hidden="false" name="currentYear_debt_long_term" vbProcedure="false">Ratios!$C$29</definedName>
    <definedName function="false" hidden="false" name="currentYear_equity" vbProcedure="false">Ratios!$C$24</definedName>
    <definedName function="false" hidden="false" name="currentYear_liabilities_current" vbProcedure="false">Ratios!$C$27</definedName>
    <definedName function="false" hidden="false" name="currentYear_liabilities_total" vbProcedure="false">Ratios!$C$33</definedName>
    <definedName function="false" hidden="false" name="currentYear_total_capitalization" vbProcedure="false">Ratios!$C$32</definedName>
    <definedName function="false" hidden="false" name="currentYear_working_capital_net" vbProcedure="false">Ratios!$C$30</definedName>
    <definedName function="false" hidden="false" name="INC_addition_retained_earnings" vbProcedure="false">'Income Statement'!$C$19</definedName>
    <definedName function="false" hidden="false" name="INC_cost_goods_sold" vbProcedure="false">'Income Statement'!$C$7</definedName>
    <definedName function="false" hidden="false" name="INC_depreciation" vbProcedure="false">'Income Statement'!$C$9</definedName>
    <definedName function="false" hidden="false" name="INC_dividends" vbProcedure="false">'Income Statement'!$C$18</definedName>
    <definedName function="false" hidden="false" name="INC_ebit" vbProcedure="false">'Income Statement'!$C$10</definedName>
    <definedName function="false" hidden="false" name="INC_interest_expense" vbProcedure="false">'Income Statement'!$C$12</definedName>
    <definedName function="false" hidden="false" name="INC_net" vbProcedure="false">'Income Statement'!$C$15</definedName>
    <definedName function="false" hidden="false" name="INC_other_income" vbProcedure="false">'Income Statement'!$C$11</definedName>
    <definedName function="false" hidden="false" name="INC_sales" vbProcedure="false">'Income Statement'!$C$6</definedName>
    <definedName function="false" hidden="false" name="INC_sga" vbProcedure="false">'Income Statement'!$C$8</definedName>
    <definedName function="false" hidden="false" name="INC_taxable_income" vbProcedure="false">'Income Statement'!$C$13</definedName>
    <definedName function="false" hidden="false" name="INC_taxes" vbProcedure="false">'Income Statement'!$C$14</definedName>
    <definedName function="false" hidden="false" name="market_capitalization" vbProcedure="false">Ratios!$C$12</definedName>
    <definedName function="false" hidden="false" name="RATIO_asset_turnover" vbProcedure="false">Ratios!$C$54</definedName>
    <definedName function="false" hidden="false" name="RATIO_debt_burden" vbProcedure="false">Ratios!$C$67</definedName>
    <definedName function="false" hidden="false" name="RATIO_leverage" vbProcedure="false">Ratios!$C$68</definedName>
    <definedName function="false" hidden="false" name="RATIO_operating_profit_margin" vbProcedure="false">Ratios!$C$60</definedName>
    <definedName function="false" hidden="false" name="shares_outstanding" vbProcedure="false">Ratios!$C$9</definedName>
    <definedName function="false" hidden="false" name="share_price" vbProcedure="false">Ratios!$C$8</definedName>
    <definedName function="false" hidden="false" name="startYear_equity" vbProcedure="false">Ratios!$C$15</definedName>
    <definedName function="false" hidden="false" name="startYear_inventory" vbProcedure="false">Ratios!$C$16</definedName>
    <definedName function="false" hidden="false" name="startYear_receivables" vbProcedure="false">Ratios!$C$17</definedName>
    <definedName function="false" hidden="false" name="startYear_total_assets" vbProcedure="false">Ratios!$C$18</definedName>
    <definedName function="false" hidden="false" name="startYear_total_capitalization" vbProcedure="false">Ratios!$C$19</definedName>
    <definedName function="false" hidden="false" name="tax_rate" vbProcedure="false">Ratios!$C$11</definedName>
    <definedName function="false" hidden="false" name="yearCurrent" vbProcedure="false">Ratios!$C$6</definedName>
    <definedName function="false" hidden="false" name="yearStart" vbProcedure="false">Ratios!$C$7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<sst xmlns="http://schemas.openxmlformats.org/spreadsheetml/2006/main" count="337" uniqueCount="323">
  <si>
    <t xml:space="preserve">UNIVERSITY OF HAWAIʻI AT MĀNOA · SHIDLER COLLEGE OF BUSINESS</t>
  </si>
  <si>
    <t xml:space="preserve">BUS-629 International Corporate Finance · Vietnam EMBA</t>
  </si>
  <si>
    <t xml:space="preserve">Performance Ratios — Excel Template</t>
  </si>
  <si>
    <t xml:space="preserve">How to Use This Template</t>
  </si>
  <si>
    <t xml:space="preserve">1.</t>
  </si>
  <si>
    <t xml:space="preserve">Enter prior-year and current-year balance-sheet figures on the Balance Sheet tab (Stage 3 task).</t>
  </si>
  <si>
    <t xml:space="preserve">2.</t>
  </si>
  <si>
    <t xml:space="preserve">Enter current-year income-statement figures on the Income Statement tab (Stage 3 task).</t>
  </si>
  <si>
    <t xml:space="preserve">3.</t>
  </si>
  <si>
    <t xml:space="preserve">Enter current-year cash-flow items on the Cash Flow Statement tab (Stage 3 task).</t>
  </si>
  <si>
    <t xml:space="preserve">4.</t>
  </si>
  <si>
    <t xml:space="preserve">On the Ratios tab, enter the four analyst assumptions at top: share price, shares outstanding, cost of capital, tax rate.</t>
  </si>
  <si>
    <t xml:space="preserve">5.</t>
  </si>
  <si>
    <t xml:space="preserve">Ratio outputs populate automatically in the Outputs section of the Ratios tab — no manual ratio computation required.</t>
  </si>
  <si>
    <t xml:space="preserve">6.</t>
  </si>
  <si>
    <t xml:space="preserve">Document company metadata, data source, and AI usage on the Notes tab.</t>
  </si>
  <si>
    <t xml:space="preserve">Color Key</t>
  </si>
  <si>
    <t xml:space="preserve">Style</t>
  </si>
  <si>
    <t xml:space="preserve">Meaning</t>
  </si>
  <si>
    <t xml:space="preserve">Sample</t>
  </si>
  <si>
    <t xml:space="preserve">Yellow background — DATA INPUTS. Numbers pulled from 10-K / financial statements. Overwrite with your company's figures.</t>
  </si>
  <si>
    <t xml:space="preserve">12.3%</t>
  </si>
  <si>
    <t xml:space="preserve">Light-blue background + blue text — ASSUMPTIONS. Analyst inputs: share price, shares outstanding, WACC, tax rate, fiscal years.</t>
  </si>
  <si>
    <t xml:space="preserve">f(x)</t>
  </si>
  <si>
    <t xml:space="preserve">Green text — FORMULAS. Cross-sheet references and derived calculations. Do not overwrite.</t>
  </si>
  <si>
    <t xml:space="preserve">1.23x</t>
  </si>
  <si>
    <t xml:space="preserve">Gray background — RATIO OUTPUTS. Computed values in the Ratios tab. Do not overwrite.</t>
  </si>
  <si>
    <t xml:space="preserve">Named-Range Convention</t>
  </si>
  <si>
    <t xml:space="preserve">Prefix / Pattern</t>
  </si>
  <si>
    <t xml:space="preserve">BAL_[item]_[yr]</t>
  </si>
  <si>
    <t xml:space="preserve">Balance-sheet line items, suffixed with fiscal year (e.g., BAL_assets_total_2024).</t>
  </si>
  <si>
    <t xml:space="preserve">INC_[item]</t>
  </si>
  <si>
    <t xml:space="preserve">Income-statement items (e.g., INC_sales, INC_ebit, INC_net).</t>
  </si>
  <si>
    <t xml:space="preserve">CASH_[item]</t>
  </si>
  <si>
    <t xml:space="preserve">Cash-flow items (e.g., CASH_operating).</t>
  </si>
  <si>
    <t xml:space="preserve">share_price, shares_outstanding, cost_capital, tax_rate</t>
  </si>
  <si>
    <t xml:space="preserve">Analyst assumptions (no prefix).</t>
  </si>
  <si>
    <t xml:space="preserve">startYear_[item]</t>
  </si>
  <si>
    <t xml:space="preserve">Alias for prior-year balance (e.g., startYear_equity ≡ BAL_equity_shareholders_prior).</t>
  </si>
  <si>
    <t xml:space="preserve">currentYear_[item]</t>
  </si>
  <si>
    <t xml:space="preserve">Alias for current-year balance or derived current-year figure.</t>
  </si>
  <si>
    <t xml:space="preserve">avg_[item]</t>
  </si>
  <si>
    <t xml:space="preserve">Mean of start-of-year and current-year (e.g., avg_equity).</t>
  </si>
  <si>
    <t xml:space="preserve">RATIO_[name]</t>
  </si>
  <si>
    <t xml:space="preserve">Key ratios reused in Du Pont decomposition (asset_turnover, operating_profit_margin, leverage, debt_burden).</t>
  </si>
  <si>
    <t xml:space="preserve">Companion Specification</t>
  </si>
  <si>
    <t xml:space="preserve">See:</t>
  </si>
  <si>
    <t xml:space="preserve">docs/templates/spec-template.md (repo-level)</t>
  </si>
  <si>
    <t xml:space="preserve">Course:</t>
  </si>
  <si>
    <t xml:space="preserve">courses/BUS-629-VEMBA-International-Corporate-Finance/</t>
  </si>
  <si>
    <t xml:space="preserve">Prepared per UH Mānoa brand standards (docs/_branding/design.json). Primary green #024731 · Open Sans typography · ADA-compliant contrast.</t>
  </si>
  <si>
    <t xml:space="preserve">Balance Sheet</t>
  </si>
  <si>
    <t xml:space="preserve">All figures in CHF millions</t>
  </si>
  <si>
    <t xml:space="preserve">ASSETS</t>
  </si>
  <si>
    <t xml:space="preserve">FY Current</t>
  </si>
  <si>
    <t xml:space="preserve">FY Prior</t>
  </si>
  <si>
    <t xml:space="preserve">LIABILITIES &amp; EQUITY</t>
  </si>
  <si>
    <t xml:space="preserve">Current Assets</t>
  </si>
  <si>
    <t xml:space="preserve">Current Liabilities</t>
  </si>
  <si>
    <t xml:space="preserve">Cash and marketable securities</t>
  </si>
  <si>
    <t xml:space="preserve">Debt due for repayment</t>
  </si>
  <si>
    <t xml:space="preserve">Receivables</t>
  </si>
  <si>
    <t xml:space="preserve">Accounts payable</t>
  </si>
  <si>
    <t xml:space="preserve">Inventories</t>
  </si>
  <si>
    <t xml:space="preserve">Other current liabilities</t>
  </si>
  <si>
    <t xml:space="preserve">Other current assets</t>
  </si>
  <si>
    <t xml:space="preserve">   Total current liabilities</t>
  </si>
  <si>
    <t xml:space="preserve">   Total current assets</t>
  </si>
  <si>
    <t xml:space="preserve">Long-term debt</t>
  </si>
  <si>
    <t xml:space="preserve">Fixed Assets</t>
  </si>
  <si>
    <t xml:space="preserve">Other long-term liabilities</t>
  </si>
  <si>
    <t xml:space="preserve">Property, plant, and equipment</t>
  </si>
  <si>
    <t xml:space="preserve">Less accumulated depreciation</t>
  </si>
  <si>
    <t xml:space="preserve">Total Liabilities</t>
  </si>
  <si>
    <t xml:space="preserve">   Net tangible fixed assets</t>
  </si>
  <si>
    <t xml:space="preserve">SHAREHOLDERS' EQUITY</t>
  </si>
  <si>
    <t xml:space="preserve">Other Assets</t>
  </si>
  <si>
    <t xml:space="preserve">Common stock and paid-in capital</t>
  </si>
  <si>
    <t xml:space="preserve">Intangible assets (goodwill)</t>
  </si>
  <si>
    <t xml:space="preserve">Retained earnings</t>
  </si>
  <si>
    <t xml:space="preserve">Other assets</t>
  </si>
  <si>
    <t xml:space="preserve">   Total shareholders' equity</t>
  </si>
  <si>
    <t xml:space="preserve">Total Assets</t>
  </si>
  <si>
    <t xml:space="preserve">Total Liabilities + Equity</t>
  </si>
  <si>
    <t xml:space="preserve">Income Statement</t>
  </si>
  <si>
    <t xml:space="preserve">FY2025 (year ended December 31, 2025) · figures in CHF millions</t>
  </si>
  <si>
    <t xml:space="preserve">Line Item</t>
  </si>
  <si>
    <t xml:space="preserve">Amount</t>
  </si>
  <si>
    <t xml:space="preserve">% of Sales</t>
  </si>
  <si>
    <t xml:space="preserve">Net sales</t>
  </si>
  <si>
    <t xml:space="preserve">less Cost of goods sold</t>
  </si>
  <si>
    <t xml:space="preserve">less Selling, general &amp; administrative expenses</t>
  </si>
  <si>
    <t xml:space="preserve">less Depreciation</t>
  </si>
  <si>
    <t xml:space="preserve">   Earnings before interest and taxes (EBIT)</t>
  </si>
  <si>
    <t xml:space="preserve">plus Other income</t>
  </si>
  <si>
    <t xml:space="preserve">less Interest expense</t>
  </si>
  <si>
    <t xml:space="preserve">   Taxable income</t>
  </si>
  <si>
    <t xml:space="preserve">less Taxes</t>
  </si>
  <si>
    <t xml:space="preserve">   Net income</t>
  </si>
  <si>
    <t xml:space="preserve">Allocation of net income</t>
  </si>
  <si>
    <t xml:space="preserve">   Dividends</t>
  </si>
  <si>
    <t xml:space="preserve">   Addition to retained earnings</t>
  </si>
  <si>
    <t xml:space="preserve">Cash Flow Statement</t>
  </si>
  <si>
    <t xml:space="preserve">Source / Notes</t>
  </si>
  <si>
    <t xml:space="preserve">Operations:</t>
  </si>
  <si>
    <t xml:space="preserve">Net income</t>
  </si>
  <si>
    <t xml:space="preserve">[Income Statement]</t>
  </si>
  <si>
    <t xml:space="preserve">plus Depreciation</t>
  </si>
  <si>
    <t xml:space="preserve">   plus Changes in working capital items</t>
  </si>
  <si>
    <t xml:space="preserve">      Decrease (increase) in accounts receivable</t>
  </si>
  <si>
    <t xml:space="preserve"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</si>
  <si>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</si>
  <si>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</si>
  <si>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</si>
  <si>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</si>
  <si>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</si>
  <si>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</si>
  <si>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 xml:space="preserve">Investments:</t>
  </si>
  <si>
    <t xml:space="preserve">Capital expenditures</t>
  </si>
  <si>
    <t xml:space="preserve">plus Sales (acquisitions) of long-term assets</t>
  </si>
  <si>
    <t xml:space="preserve">plus Other investing activities</t>
  </si>
  <si>
    <t xml:space="preserve">   Cash provided by (used for) investments</t>
  </si>
  <si>
    <t xml:space="preserve">Financing activities:</t>
  </si>
  <si>
    <t xml:space="preserve">Increase (decrease) in short-term debt</t>
  </si>
  <si>
    <t xml:space="preserve">plus Increase (decrease) in long-term debt</t>
  </si>
  <si>
    <t xml:space="preserve">plus Dividends paid</t>
  </si>
  <si>
    <t xml:space="preserve">plus Issues (repurchases) of stock</t>
  </si>
  <si>
    <t xml:space="preserve">plus Other</t>
  </si>
  <si>
    <t xml:space="preserve">   Cash provided by (used for) financing</t>
  </si>
  <si>
    <t xml:space="preserve">Net increase (decrease) in cash</t>
  </si>
  <si>
    <t xml:space="preserve">Ratios &amp; Derived Inputs</t>
  </si>
  <si>
    <t xml:space="preserve">Enter the four assumptions at top; all ratios populate automatically.</t>
  </si>
  <si>
    <t xml:space="preserve">Metric</t>
  </si>
  <si>
    <t xml:space="preserve">Input</t>
  </si>
  <si>
    <t xml:space="preserve">Named Range Formula</t>
  </si>
  <si>
    <t xml:space="preserve">Named Range</t>
  </si>
  <si>
    <t xml:space="preserve">Current fiscal year</t>
  </si>
  <si>
    <t xml:space="preserve">yearCurrent</t>
  </si>
  <si>
    <t xml:space="preserve">Start of year (prior)</t>
  </si>
  <si>
    <t xml:space="preserve">yearCurrent - 1</t>
  </si>
  <si>
    <t xml:space="preserve">yearStart</t>
  </si>
  <si>
    <t xml:space="preserve">Share price</t>
  </si>
  <si>
    <t xml:space="preserve">share_price</t>
  </si>
  <si>
    <t xml:space="preserve">Shares outstanding (M)</t>
  </si>
  <si>
    <t xml:space="preserve">shares_outstanding</t>
  </si>
  <si>
    <t xml:space="preserve">Cost of capital</t>
  </si>
  <si>
    <t xml:space="preserve">cost_capital</t>
  </si>
  <si>
    <t xml:space="preserve">Tax rate</t>
  </si>
  <si>
    <t xml:space="preserve">tax_rate</t>
  </si>
  <si>
    <t xml:space="preserve">Market capitalization</t>
  </si>
  <si>
    <t xml:space="preserve">share_price × shares_outstanding</t>
  </si>
  <si>
    <t xml:space="preserve">market_capitalization</t>
  </si>
  <si>
    <t xml:space="preserve">── Start of Year (Prior-Year Balance Sheet) ──</t>
  </si>
  <si>
    <t xml:space="preserve">Equity (start of year)</t>
  </si>
  <si>
    <t xml:space="preserve">BAL_equity_shareholders_prior</t>
  </si>
  <si>
    <t xml:space="preserve">startYear_equity</t>
  </si>
  <si>
    <t xml:space="preserve">Inventories (start of year)</t>
  </si>
  <si>
    <t xml:space="preserve">BAL_inventories_prior</t>
  </si>
  <si>
    <t xml:space="preserve">startYear_inventory</t>
  </si>
  <si>
    <t xml:space="preserve">Receivables (start of year)</t>
  </si>
  <si>
    <t xml:space="preserve">BAL_receivables_prior</t>
  </si>
  <si>
    <t xml:space="preserve">startYear_receivables</t>
  </si>
  <si>
    <t xml:space="preserve">Total assets (start of year)</t>
  </si>
  <si>
    <t xml:space="preserve">BAL_assets_total_prior</t>
  </si>
  <si>
    <t xml:space="preserve">startYear_total_assets</t>
  </si>
  <si>
    <t xml:space="preserve">Total capitalization (start of year)</t>
  </si>
  <si>
    <t xml:space="preserve">BAL_debt_long_term_prior + BAL_equity_shareholders_prior</t>
  </si>
  <si>
    <t xml:space="preserve">startYear_total_capitalization</t>
  </si>
  <si>
    <t xml:space="preserve">── Current Year (Derived) ──</t>
  </si>
  <si>
    <t xml:space="preserve">After-tax operating income</t>
  </si>
  <si>
    <t xml:space="preserve">INC_net + (1 − tax_rate) × INC_interest_expense</t>
  </si>
  <si>
    <t xml:space="preserve">currentYear_after_tax_operating_income</t>
  </si>
  <si>
    <t xml:space="preserve">Average daily sales</t>
  </si>
  <si>
    <t xml:space="preserve">INC_sales / 365</t>
  </si>
  <si>
    <t xml:space="preserve">currentYear_daily_sales_average</t>
  </si>
  <si>
    <t xml:space="preserve">Book value of equity</t>
  </si>
  <si>
    <t xml:space="preserve">BAL_equity_shareholders_curr</t>
  </si>
  <si>
    <t xml:space="preserve">currentYear_equity</t>
  </si>
  <si>
    <t xml:space="preserve">Cash + Marketable securities</t>
  </si>
  <si>
    <t xml:space="preserve">BAL_cash_marketable_securities_curr</t>
  </si>
  <si>
    <t xml:space="preserve">currentYear_cash_marketable_securities</t>
  </si>
  <si>
    <t xml:space="preserve">Current assets</t>
  </si>
  <si>
    <t xml:space="preserve">BAL_assets_current_curr</t>
  </si>
  <si>
    <t xml:space="preserve">currentYear_assets_current</t>
  </si>
  <si>
    <t xml:space="preserve">Current liabilities</t>
  </si>
  <si>
    <t xml:space="preserve">BAL_liabilities_current_curr</t>
  </si>
  <si>
    <t xml:space="preserve">currentYear_liabilities_current</t>
  </si>
  <si>
    <t xml:space="preserve">Daily COGS</t>
  </si>
  <si>
    <t xml:space="preserve">INC_cost_goods_sold / 365</t>
  </si>
  <si>
    <t xml:space="preserve">currentYear_cost_goods_sold_daily</t>
  </si>
  <si>
    <t xml:space="preserve">BAL_debt_long_term_curr</t>
  </si>
  <si>
    <t xml:space="preserve">currentYear_debt_long_term</t>
  </si>
  <si>
    <t xml:space="preserve">Net working capital</t>
  </si>
  <si>
    <t xml:space="preserve">BAL_assets_current_curr − BAL_liabilities_current_curr</t>
  </si>
  <si>
    <t xml:space="preserve">currentYear_working_capital_net</t>
  </si>
  <si>
    <t xml:space="preserve">Total assets</t>
  </si>
  <si>
    <t xml:space="preserve">BAL_assets_total_curr</t>
  </si>
  <si>
    <t xml:space="preserve">currentYear_assets_total</t>
  </si>
  <si>
    <t xml:space="preserve">Total capitalization</t>
  </si>
  <si>
    <t xml:space="preserve">currentYear_debt_long_term + currentYear_equity</t>
  </si>
  <si>
    <t xml:space="preserve">currentYear_total_capitalization</t>
  </si>
  <si>
    <t xml:space="preserve">Total liabilities</t>
  </si>
  <si>
    <t xml:space="preserve">BAL_liabilities_total_curr</t>
  </si>
  <si>
    <t xml:space="preserve">currentYear_liabilities_total</t>
  </si>
  <si>
    <t xml:space="preserve">── Mixed Year (Averages) ──</t>
  </si>
  <si>
    <t xml:space="preserve">Average equity</t>
  </si>
  <si>
    <t xml:space="preserve">AVERAGE(startYear_equity, currentYear_equity)</t>
  </si>
  <si>
    <t xml:space="preserve">avg_equity</t>
  </si>
  <si>
    <t xml:space="preserve">Average total assets</t>
  </si>
  <si>
    <t xml:space="preserve">AVERAGE(startYear_total_assets, currentYear_assets_total)</t>
  </si>
  <si>
    <t xml:space="preserve">avg_total_assets</t>
  </si>
  <si>
    <t xml:space="preserve">Average total capitalization</t>
  </si>
  <si>
    <t xml:space="preserve">AVERAGE(startYear_total_capitalization, currentYear_total_capitalization)</t>
  </si>
  <si>
    <t xml:space="preserve">avg_total_capitalization</t>
  </si>
  <si>
    <t xml:space="preserve">Ratio</t>
  </si>
  <si>
    <t xml:space="preserve">Output</t>
  </si>
  <si>
    <t xml:space="preserve">Named Range Formula (reference)</t>
  </si>
  <si>
    <t xml:space="preserve">Check</t>
  </si>
  <si>
    <t xml:space="preserve">Performance</t>
  </si>
  <si>
    <t xml:space="preserve">Market value added (MVA)</t>
  </si>
  <si>
    <t xml:space="preserve">market_capitalization − currentYear_equity</t>
  </si>
  <si>
    <t xml:space="preserve">Market-to-book ratio</t>
  </si>
  <si>
    <t xml:space="preserve">market_capitalization / currentYear_equity</t>
  </si>
  <si>
    <t xml:space="preserve">Economic value added (EVA)</t>
  </si>
  <si>
    <t xml:space="preserve">currentYear_after_tax_operating_income − (cost_capital × startYear_total_capitalization)</t>
  </si>
  <si>
    <t xml:space="preserve">Profitability</t>
  </si>
  <si>
    <t xml:space="preserve">Return on assets (ROA)</t>
  </si>
  <si>
    <t xml:space="preserve">currentYear_after_tax_operating_income / startYear_total_assets</t>
  </si>
  <si>
    <t xml:space="preserve">Return on capital (ROC)</t>
  </si>
  <si>
    <t xml:space="preserve">currentYear_after_tax_operating_income / startYear_total_capitalization</t>
  </si>
  <si>
    <t xml:space="preserve">Return on equity (ROE)</t>
  </si>
  <si>
    <t xml:space="preserve">INC_net / startYear_equity</t>
  </si>
  <si>
    <t xml:space="preserve">Return on assets (ROA) [avg]</t>
  </si>
  <si>
    <t xml:space="preserve">currentYear_after_tax_operating_income / avg_total_assets</t>
  </si>
  <si>
    <t xml:space="preserve">Return on capital (ROC) [avg]</t>
  </si>
  <si>
    <t xml:space="preserve">currentYear_after_tax_operating_income / avg_total_capitalization</t>
  </si>
  <si>
    <t xml:space="preserve">Return on equity (ROE) [avg]</t>
  </si>
  <si>
    <t xml:space="preserve">INC_net / avg_equity</t>
  </si>
  <si>
    <t xml:space="preserve">Efficiency</t>
  </si>
  <si>
    <t xml:space="preserve">Asset turnover</t>
  </si>
  <si>
    <t xml:space="preserve">INC_sales / startYear_total_assets</t>
  </si>
  <si>
    <t xml:space="preserve">RATIO_asset_turnover</t>
  </si>
  <si>
    <t xml:space="preserve">Receivables turnover</t>
  </si>
  <si>
    <t xml:space="preserve">INC_sales / startYear_receivables</t>
  </si>
  <si>
    <t xml:space="preserve">Average collection period (days)</t>
  </si>
  <si>
    <t xml:space="preserve">startYear_receivables / currentYear_daily_sales_average</t>
  </si>
  <si>
    <t xml:space="preserve">Inventory turnover</t>
  </si>
  <si>
    <t xml:space="preserve">INC_cost_goods_sold / startYear_inventory</t>
  </si>
  <si>
    <t xml:space="preserve">Days in inventory</t>
  </si>
  <si>
    <t xml:space="preserve">startYear_inventory / currentYear_cost_goods_sold_daily</t>
  </si>
  <si>
    <t xml:space="preserve">Profit margin</t>
  </si>
  <si>
    <t xml:space="preserve">INC_net / INC_sales</t>
  </si>
  <si>
    <t xml:space="preserve">Operating profit margin</t>
  </si>
  <si>
    <t xml:space="preserve">currentYear_after_tax_operating_income / INC_sales</t>
  </si>
  <si>
    <t xml:space="preserve">RATIO_operating_profit_margin</t>
  </si>
  <si>
    <t xml:space="preserve">Leverage</t>
  </si>
  <si>
    <t xml:space="preserve">Long-term debt ratio</t>
  </si>
  <si>
    <t xml:space="preserve">currentYear_debt_long_term / (currentYear_debt_long_term + currentYear_equity)</t>
  </si>
  <si>
    <t xml:space="preserve">Long-term debt-equity ratio</t>
  </si>
  <si>
    <t xml:space="preserve">currentYear_debt_long_term / currentYear_equity</t>
  </si>
  <si>
    <t xml:space="preserve">Total debt ratio</t>
  </si>
  <si>
    <t xml:space="preserve">currentYear_liabilities_total / currentYear_assets_total</t>
  </si>
  <si>
    <t xml:space="preserve">Times interest earned</t>
  </si>
  <si>
    <t xml:space="preserve">INC_ebit / INC_interest_expense</t>
  </si>
  <si>
    <t xml:space="preserve">Cash coverage ratio</t>
  </si>
  <si>
    <t xml:space="preserve">(INC_ebit + INC_depreciation) / INC_interest_expense</t>
  </si>
  <si>
    <t xml:space="preserve">Debt burden</t>
  </si>
  <si>
    <t xml:space="preserve">INC_net / currentYear_after_tax_operating_income</t>
  </si>
  <si>
    <t xml:space="preserve">RATIO_debt_burden</t>
  </si>
  <si>
    <t xml:space="preserve">Leverage ratio</t>
  </si>
  <si>
    <t xml:space="preserve">currentYear_assets_total / currentYear_equity</t>
  </si>
  <si>
    <t xml:space="preserve">RATIO_leverage</t>
  </si>
  <si>
    <t xml:space="preserve">Liquidity</t>
  </si>
  <si>
    <t xml:space="preserve">Net working capital to assets</t>
  </si>
  <si>
    <t xml:space="preserve">currentYear_working_capital_net / currentYear_assets_total</t>
  </si>
  <si>
    <t xml:space="preserve">Current ratio</t>
  </si>
  <si>
    <t xml:space="preserve">currentYear_assets_current / currentYear_liabilities_current</t>
  </si>
  <si>
    <t xml:space="preserve">Quick ratio</t>
  </si>
  <si>
    <t xml:space="preserve">(currentYear_cash_marketable_securities + BAL_receivables_curr) / currentYear_liabilities_current</t>
  </si>
  <si>
    <t xml:space="preserve">Cash ratio</t>
  </si>
  <si>
    <t xml:space="preserve">currentYear_cash_marketable_securities / currentYear_liabilities_current</t>
  </si>
  <si>
    <t xml:space="preserve">Du Pont System</t>
  </si>
  <si>
    <t xml:space="preserve">Return on assets (Du Pont)</t>
  </si>
  <si>
    <t xml:space="preserve">RATIO_asset_turnover × RATIO_operating_profit_margin</t>
  </si>
  <si>
    <t xml:space="preserve">Return on equity (Du Pont)</t>
  </si>
  <si>
    <t xml:space="preserve">RATIO_leverage × RATIO_asset_turnover × RATIO_operating_profit_margin × RATIO_debt_burden</t>
  </si>
  <si>
    <t xml:space="preserve">Notes &amp; Assumptions</t>
  </si>
  <si>
    <t xml:space="preserve">Company</t>
  </si>
  <si>
    <t xml:space="preserve">Nestlé S.A.</t>
  </si>
  <si>
    <t xml:space="preserve">Ticker</t>
  </si>
  <si>
    <t xml:space="preserve">NESN</t>
  </si>
  <si>
    <t xml:space="preserve">Industry</t>
  </si>
  <si>
    <t xml:space="preserve">Food &amp; Beverage (FMCG)</t>
  </si>
  <si>
    <t xml:space="preserve">Fiscal Year (current)</t>
  </si>
  <si>
    <t xml:space="preserve">FY2025</t>
  </si>
  <si>
    <t xml:space="preserve">Fiscal Year (prior)</t>
  </si>
  <si>
    <t xml:space="preserve">FY2024</t>
  </si>
  <si>
    <t xml:space="preserve">Data Source</t>
  </si>
  <si>
    <t xml:space="preserve">nestle.com/investors/publications — Consolidated Financial Statements 2025 (IFRS, CHF millions)</t>
  </si>
  <si>
    <t xml:space="preserve">Units</t>
  </si>
  <si>
    <t xml:space="preserve">Tax Rate</t>
  </si>
  <si>
    <t xml:space="preserve">Effective rate used: 24.6% (2,640 / 10,751 pre-tax profit FY2025). Statutory Swiss rate ~8.5%; higher effective rate reflects international tax mix.</t>
  </si>
  <si>
    <t xml:space="preserve">Cost of Capital</t>
  </si>
  <si>
    <t xml:space="preserve">9.0% — class working WACC assumption (retained from template default pending Stage 4 CAPM refinement)</t>
  </si>
  <si>
    <t xml:space="preserve">Share Price</t>
  </si>
  <si>
    <t xml:space="preserve">CHF 72.06 (NESN closing price December 31, 2025 — SIX Swiss Exchange)</t>
  </si>
  <si>
    <t xml:space="preserve">Shares Outstanding</t>
  </si>
  <si>
    <t xml:space="preserve">2,572M shares diluted weighted average (FY2025, per earnings release)</t>
  </si>
  <si>
    <t xml:space="preserve">BUS-629 Project Use</t>
  </si>
  <si>
    <t xml:space="preserve">Template for the Accounting &amp; Performance Ratios project</t>
  </si>
  <si>
    <t xml:space="preserve">Stage 2 Task</t>
  </si>
  <si>
    <t xml:space="preserve">Upload your copy of this template to your repo at models/templates/.</t>
  </si>
  <si>
    <t xml:space="preserve">Stage 3 Task</t>
  </si>
  <si>
    <t xml:space="preserve">Populate Balance Sheet, Income Statement, and Cash Flow with your selected company’s figures; enter the four assumptions on the Ratios tab; then compute all ratios in column C using the named-range formulas shown in column D.</t>
  </si>
  <si>
    <t xml:space="preserve">Stage 4 Task</t>
  </si>
  <si>
    <t xml:space="preserve">Use an LLM to draft a technical specification (spec-template.md) covering this model and the analysis it should produce.</t>
  </si>
  <si>
    <t xml:space="preserve">AI Usage</t>
  </si>
  <si>
    <t xml:space="preserve">Execute spec with LLM; evaluate output; ship final analysis as part of polished portfolio repo.</t>
  </si>
  <si>
    <t xml:space="preserve">Self-checks</t>
  </si>
  <si>
    <t xml:space="preserve">Du Pont ROA</t>
  </si>
  <si>
    <t xml:space="preserve">Du Pont ROA (Ratios!C75) is mathematically identical to direct ROA (Ratios!C47). The inline check on Ratios!F75 confirms the match — investigate any discrepancy before submitting.</t>
  </si>
  <si>
    <t xml:space="preserve">Du Pont ROE</t>
  </si>
  <si>
    <t xml:space="preserve">Du Pont ROE (Ratios!C76) will not exactly equal direct ROE (Ratios!C49) in this model: the leverage component uses current-year balances while asset turnover uses prior-year assets. Explain this time-mismatch in your Stage 4 memo.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</si>
</sst>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—"/>
    <numFmt numFmtId="166" formatCode="0.0%"/>
    <numFmt numFmtId="167" formatCode="0.0%;\(0.0%\);\—"/>
    <numFmt numFmtId="168" formatCode="0"/>
    <numFmt numFmtId="169" formatCode="\$#,##0.00"/>
    <numFmt numFmtId="170" formatCode="#,##0"/>
    <numFmt numFmtId="171" formatCode="#,##0.00;\(#,##0.00\);\—"/>
    <numFmt numFmtId="172" formatCode="0.00\x"/>
    <numFmt numFmtId="173" formatCode="0.0&quot; days&quot;"/>
    <numFmt numFmtId="174" formatCode="0.000"/>
    <numFmt numFmtId="175" formatCode="@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24731"/>
      <name val="Open Sans"/>
      <family val="0"/>
      <charset val="1"/>
    </font>
    <font>
      <b val="true"/>
      <sz val="18"/>
      <color rgb="FF000000"/>
      <name val="Open Sans"/>
      <family val="0"/>
      <charset val="1"/>
    </font>
    <font>
      <sz val="12"/>
      <color rgb="FF525252"/>
      <name val="Open Sans"/>
      <family val="0"/>
      <charset val="1"/>
    </font>
    <font>
      <b val="true"/>
      <sz val="13"/>
      <color rgb="FF024731"/>
      <name val="Open Sans"/>
      <family val="0"/>
      <charset val="1"/>
    </font>
    <font>
      <b val="true"/>
      <sz val="10"/>
      <color rgb="FF024731"/>
      <name val="Open Sans"/>
      <family val="0"/>
      <charset val="1"/>
    </font>
    <font>
      <sz val="10"/>
      <color rgb="FF000000"/>
      <name val="Open Sans"/>
      <family val="0"/>
      <charset val="1"/>
    </font>
    <font>
      <b val="true"/>
      <sz val="11"/>
      <color rgb="FFFFFFFF"/>
      <name val="Open Sans"/>
      <family val="0"/>
      <charset val="1"/>
    </font>
    <font>
      <b val="true"/>
      <sz val="10"/>
      <color rgb="FF0000FF"/>
      <name val="Open Sans"/>
      <family val="0"/>
      <charset val="1"/>
    </font>
    <font>
      <sz val="10"/>
      <color rgb="FF008000"/>
      <name val="Open Sans"/>
      <family val="0"/>
      <charset val="1"/>
    </font>
    <font>
      <b val="true"/>
      <sz val="10"/>
      <color rgb="FF000000"/>
      <name val="Open Sans"/>
      <family val="0"/>
      <charset val="1"/>
    </font>
    <font>
      <sz val="10"/>
      <color rgb="FF525252"/>
      <name val="Consolas"/>
      <family val="3"/>
      <charset val="1"/>
    </font>
    <font>
      <i val="true"/>
      <sz val="8"/>
      <color rgb="FF525252"/>
      <name val="Open Sans"/>
      <family val="0"/>
      <charset val="1"/>
    </font>
    <font>
      <b val="true"/>
      <sz val="16"/>
      <color rgb="FF024731"/>
      <name val="Open Sans"/>
      <family val="0"/>
      <charset val="1"/>
    </font>
    <font>
      <i val="true"/>
      <sz val="9"/>
      <color rgb="FF525252"/>
      <name val="Open Sans"/>
      <family val="0"/>
      <charset val="1"/>
    </font>
    <font>
      <i val="true"/>
      <sz val="10"/>
      <color rgb="FF525252"/>
      <name val="Open Sans"/>
      <family val="0"/>
      <charset val="1"/>
    </font>
    <font>
      <sz val="9"/>
      <color rgb="FF525252"/>
      <name val="Consolas"/>
      <family val="3"/>
      <charset val="1"/>
    </font>
    <font>
      <b val="true"/>
      <sz val="11"/>
      <color rgb="FF024731"/>
      <name val="Open Sans"/>
      <family val="0"/>
      <charset val="1"/>
    </font>
    <font>
      <sz val="10"/>
      <color rgb="FF024731"/>
      <name val="Open San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03366"/>
      </patternFill>
    </fill>
    <fill>
      <patternFill patternType="solid">
        <fgColor rgb="FFB2B2B2"/>
        <bgColor rgb="FF969696"/>
      </patternFill>
    </fill>
    <fill>
      <patternFill patternType="solid">
        <fgColor rgb="FFFFFFCC"/>
        <bgColor rgb="FFFFFFFF"/>
      </patternFill>
    </fill>
    <fill>
      <patternFill patternType="solid">
        <fgColor rgb="FFDCE6F1"/>
        <bgColor rgb="FFE6F2EF"/>
      </patternFill>
    </fill>
    <fill>
      <patternFill patternType="solid">
        <fgColor rgb="FFF2F2F2"/>
        <bgColor rgb="FFE6F2EF"/>
      </patternFill>
    </fill>
    <fill>
      <patternFill patternType="solid">
        <fgColor rgb="FFE6F2E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E6F2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252"/>
      <rgbColor rgb="FF969696"/>
      <rgbColor rgb="FF003366"/>
      <rgbColor rgb="FF339966"/>
      <rgbColor rgb="FF02473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70"/>
    <col collapsed="false" customWidth="true" hidden="false" outlineLevel="0" max="4" min="4" style="1" width="2"/>
  </cols>
  <sheetData>
    <row r="2" customFormat="false" ht="7.5" hidden="false" customHeight="true" outlineLevel="0" collapsed="false">
      <c r="B2" s="2"/>
      <c r="C2" s="2"/>
    </row>
    <row r="4" customFormat="false" ht="14.25" hidden="false" customHeight="true" outlineLevel="0" collapsed="false">
      <c r="B4" s="3" t="s">
        <v>0</v>
      </c>
      <c r="C4" s="3"/>
    </row>
    <row r="5" customFormat="false" ht="25.5" hidden="false" customHeight="true" outlineLevel="0" collapsed="false">
      <c r="B5" s="4" t="s">
        <v>1</v>
      </c>
      <c r="C5" s="4"/>
    </row>
    <row r="6" customFormat="false" ht="18" hidden="false" customHeight="true" outlineLevel="0" collapsed="false">
      <c r="B6" s="5" t="s">
        <v>2</v>
      </c>
      <c r="C6" s="5"/>
    </row>
    <row r="7" customFormat="false" ht="3.75" hidden="false" customHeight="true" outlineLevel="0" collapsed="false">
      <c r="B7" s="6"/>
      <c r="C7" s="6"/>
    </row>
    <row r="9" customFormat="false" ht="19.5" hidden="false" customHeight="true" outlineLevel="0" collapsed="false">
      <c r="B9" s="7" t="s">
        <v>3</v>
      </c>
      <c r="C9" s="7"/>
    </row>
    <row r="10" customFormat="false" ht="18" hidden="false" customHeight="true" outlineLevel="0" collapsed="false">
      <c r="B10" s="8" t="s">
        <v>4</v>
      </c>
      <c r="C10" s="9" t="s">
        <v>5</v>
      </c>
    </row>
    <row r="11" customFormat="false" ht="18" hidden="false" customHeight="true" outlineLevel="0" collapsed="false">
      <c r="B11" s="8" t="s">
        <v>6</v>
      </c>
      <c r="C11" s="9" t="s">
        <v>7</v>
      </c>
    </row>
    <row r="12" customFormat="false" ht="18" hidden="false" customHeight="true" outlineLevel="0" collapsed="false">
      <c r="B12" s="8" t="s">
        <v>8</v>
      </c>
      <c r="C12" s="9" t="s">
        <v>9</v>
      </c>
    </row>
    <row r="13" customFormat="false" ht="18" hidden="false" customHeight="true" outlineLevel="0" collapsed="false">
      <c r="B13" s="8" t="s">
        <v>10</v>
      </c>
      <c r="C13" s="9" t="s">
        <v>11</v>
      </c>
    </row>
    <row r="14" customFormat="false" ht="18" hidden="false" customHeight="true" outlineLevel="0" collapsed="false">
      <c r="B14" s="8" t="s">
        <v>12</v>
      </c>
      <c r="C14" s="9" t="s">
        <v>13</v>
      </c>
    </row>
    <row r="15" customFormat="false" ht="18" hidden="false" customHeight="true" outlineLevel="0" collapsed="false">
      <c r="B15" s="8" t="s">
        <v>14</v>
      </c>
      <c r="C15" s="9" t="s">
        <v>15</v>
      </c>
    </row>
    <row r="17" customFormat="false" ht="19.5" hidden="false" customHeight="true" outlineLevel="0" collapsed="false">
      <c r="B17" s="7" t="s">
        <v>16</v>
      </c>
      <c r="C17" s="7"/>
    </row>
    <row r="18" customFormat="false" ht="16.5" hidden="false" customHeight="true" outlineLevel="0" collapsed="false">
      <c r="B18" s="10" t="s">
        <v>17</v>
      </c>
      <c r="C18" s="10" t="s">
        <v>18</v>
      </c>
    </row>
    <row r="19" customFormat="false" ht="30" hidden="false" customHeight="true" outlineLevel="0" collapsed="false">
      <c r="B19" s="11" t="s">
        <v>19</v>
      </c>
      <c r="C19" s="12" t="s">
        <v>20</v>
      </c>
    </row>
    <row r="20" customFormat="false" ht="30" hidden="false" customHeight="true" outlineLevel="0" collapsed="false">
      <c r="B20" s="13" t="s">
        <v>21</v>
      </c>
      <c r="C20" s="12" t="s">
        <v>22</v>
      </c>
    </row>
    <row r="21" customFormat="false" ht="30" hidden="false" customHeight="true" outlineLevel="0" collapsed="false">
      <c r="B21" s="14" t="s">
        <v>23</v>
      </c>
      <c r="C21" s="12" t="s">
        <v>24</v>
      </c>
    </row>
    <row r="22" customFormat="false" ht="30" hidden="false" customHeight="true" outlineLevel="0" collapsed="false">
      <c r="B22" s="15" t="s">
        <v>25</v>
      </c>
      <c r="C22" s="12" t="s">
        <v>26</v>
      </c>
    </row>
    <row r="24" customFormat="false" ht="19.5" hidden="false" customHeight="true" outlineLevel="0" collapsed="false">
      <c r="B24" s="7" t="s">
        <v>27</v>
      </c>
      <c r="C24" s="7"/>
    </row>
    <row r="25" customFormat="false" ht="16.5" hidden="false" customHeight="true" outlineLevel="0" collapsed="false">
      <c r="B25" s="10" t="s">
        <v>28</v>
      </c>
      <c r="C25" s="10" t="s">
        <v>18</v>
      </c>
    </row>
    <row r="26" customFormat="false" ht="24" hidden="false" customHeight="true" outlineLevel="0" collapsed="false">
      <c r="B26" s="16" t="s">
        <v>29</v>
      </c>
      <c r="C26" s="12" t="s">
        <v>30</v>
      </c>
    </row>
    <row r="27" customFormat="false" ht="24" hidden="false" customHeight="true" outlineLevel="0" collapsed="false">
      <c r="B27" s="16" t="s">
        <v>31</v>
      </c>
      <c r="C27" s="12" t="s">
        <v>32</v>
      </c>
    </row>
    <row r="28" customFormat="false" ht="24" hidden="false" customHeight="true" outlineLevel="0" collapsed="false">
      <c r="B28" s="16" t="s">
        <v>33</v>
      </c>
      <c r="C28" s="12" t="s">
        <v>34</v>
      </c>
    </row>
    <row r="29" customFormat="false" ht="24" hidden="false" customHeight="true" outlineLevel="0" collapsed="false">
      <c r="B29" s="16" t="s">
        <v>35</v>
      </c>
      <c r="C29" s="12" t="s">
        <v>36</v>
      </c>
    </row>
    <row r="30" customFormat="false" ht="24" hidden="false" customHeight="true" outlineLevel="0" collapsed="false">
      <c r="B30" s="16" t="s">
        <v>37</v>
      </c>
      <c r="C30" s="12" t="s">
        <v>38</v>
      </c>
    </row>
    <row r="31" customFormat="false" ht="24" hidden="false" customHeight="true" outlineLevel="0" collapsed="false">
      <c r="B31" s="16" t="s">
        <v>39</v>
      </c>
      <c r="C31" s="12" t="s">
        <v>40</v>
      </c>
    </row>
    <row r="32" customFormat="false" ht="24" hidden="false" customHeight="true" outlineLevel="0" collapsed="false">
      <c r="B32" s="16" t="s">
        <v>41</v>
      </c>
      <c r="C32" s="12" t="s">
        <v>42</v>
      </c>
    </row>
    <row r="33" customFormat="false" ht="24" hidden="false" customHeight="true" outlineLevel="0" collapsed="false">
      <c r="B33" s="16" t="s">
        <v>43</v>
      </c>
      <c r="C33" s="12" t="s">
        <v>44</v>
      </c>
    </row>
    <row r="36" customFormat="false" ht="19.5" hidden="false" customHeight="true" outlineLevel="0" collapsed="false">
      <c r="B36" s="7" t="s">
        <v>45</v>
      </c>
      <c r="C36" s="7"/>
    </row>
    <row r="37" customFormat="false" ht="15" hidden="false" customHeight="true" outlineLevel="0" collapsed="false">
      <c r="B37" s="17" t="s">
        <v>46</v>
      </c>
      <c r="C37" s="18" t="s">
        <v>47</v>
      </c>
    </row>
    <row r="38" customFormat="false" ht="15" hidden="false" customHeight="true" outlineLevel="0" collapsed="false">
      <c r="B38" s="17" t="s">
        <v>48</v>
      </c>
      <c r="C38" s="18" t="s">
        <v>49</v>
      </c>
    </row>
    <row r="41" customFormat="false" ht="20.25" hidden="false" customHeight="true" outlineLevel="0" collapsed="false">
      <c r="B41" s="19" t="s">
        <v>50</v>
      </c>
      <c r="C41" s="19"/>
    </row>
  </sheetData>
  <mergeCells count="8">
    <mergeCell ref="B4:C4"/>
    <mergeCell ref="B5:C5"/>
    <mergeCell ref="B6:C6"/>
    <mergeCell ref="B9:C9"/>
    <mergeCell ref="B17:C17"/>
    <mergeCell ref="B24:C24"/>
    <mergeCell ref="B36:C36"/>
    <mergeCell ref="B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C26" activeCellId="0" sqref="C2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4" min="3" style="1" width="16"/>
    <col collapsed="false" customWidth="true" hidden="false" outlineLevel="0" max="5" min="5" style="1" width="2"/>
    <col collapsed="false" customWidth="true" hidden="false" outlineLevel="0" max="6" min="6" style="1" width="38"/>
    <col collapsed="false" customWidth="true" hidden="false" outlineLevel="0" max="8" min="7" style="1" width="16"/>
  </cols>
  <sheetData>
    <row r="2" customFormat="false" ht="22.5" hidden="false" customHeight="true" outlineLevel="0" collapsed="false">
      <c r="B2" s="20" t="s">
        <v>51</v>
      </c>
    </row>
    <row r="3" customFormat="false" ht="14.25" hidden="false" customHeight="true" outlineLevel="0" collapsed="false">
      <c r="B3" s="21" t="s">
        <v>52</v>
      </c>
    </row>
    <row r="5" customFormat="false" ht="16.5" hidden="false" customHeight="true" outlineLevel="0" collapsed="false">
      <c r="B5" s="22" t="s">
        <v>53</v>
      </c>
      <c r="C5" s="23" t="s">
        <v>54</v>
      </c>
      <c r="D5" s="23" t="s">
        <v>55</v>
      </c>
      <c r="F5" s="22" t="s">
        <v>56</v>
      </c>
      <c r="G5" s="23" t="s">
        <v>54</v>
      </c>
      <c r="H5" s="23" t="s">
        <v>55</v>
      </c>
    </row>
    <row r="6" customFormat="false" ht="15" hidden="false" customHeight="true" outlineLevel="0" collapsed="false">
      <c r="B6" s="24" t="s">
        <v>57</v>
      </c>
      <c r="F6" s="24" t="s">
        <v>58</v>
      </c>
    </row>
    <row r="7" customFormat="false" ht="15" hidden="false" customHeight="true" outlineLevel="0" collapsed="false">
      <c r="B7" s="17" t="s">
        <v>59</v>
      </c>
      <c r="C7" s="25" t="n">
        <v>6230</v>
      </c>
      <c r="D7" s="25" t="n">
        <v>7871</v>
      </c>
      <c r="F7" s="17" t="s">
        <v>60</v>
      </c>
      <c r="G7" s="25" t="n">
        <v>11606</v>
      </c>
      <c r="H7" s="25" t="n">
        <v>11863</v>
      </c>
    </row>
    <row r="8" customFormat="false" ht="15" hidden="false" customHeight="true" outlineLevel="0" collapsed="false">
      <c r="B8" s="17" t="s">
        <v>61</v>
      </c>
      <c r="C8" s="25" t="n">
        <v>10561</v>
      </c>
      <c r="D8" s="25" t="n">
        <v>11251</v>
      </c>
      <c r="F8" s="17" t="s">
        <v>62</v>
      </c>
      <c r="G8" s="25" t="n">
        <v>20023</v>
      </c>
      <c r="H8" s="25" t="n">
        <v>21807</v>
      </c>
    </row>
    <row r="9" customFormat="false" ht="15" hidden="false" customHeight="true" outlineLevel="0" collapsed="false">
      <c r="B9" s="17" t="s">
        <v>63</v>
      </c>
      <c r="C9" s="25" t="n">
        <v>12813</v>
      </c>
      <c r="D9" s="25" t="n">
        <v>13260</v>
      </c>
      <c r="F9" s="17" t="s">
        <v>64</v>
      </c>
      <c r="G9" s="25" t="n">
        <v>9065</v>
      </c>
      <c r="H9" s="25" t="n">
        <v>9193</v>
      </c>
    </row>
    <row r="10" customFormat="false" ht="15" hidden="false" customHeight="true" outlineLevel="0" collapsed="false">
      <c r="B10" s="17" t="s">
        <v>65</v>
      </c>
      <c r="C10" s="25" t="n">
        <v>2365</v>
      </c>
      <c r="D10" s="25" t="n">
        <v>2806</v>
      </c>
      <c r="F10" s="26" t="s">
        <v>66</v>
      </c>
      <c r="G10" s="27" t="n">
        <f aca="false">SUM(G7:G9)</f>
        <v>40694</v>
      </c>
      <c r="H10" s="27" t="n">
        <f aca="false">SUM(H7:H9)</f>
        <v>42863</v>
      </c>
    </row>
    <row r="11" customFormat="false" ht="15" hidden="false" customHeight="true" outlineLevel="0" collapsed="false">
      <c r="B11" s="26" t="s">
        <v>67</v>
      </c>
      <c r="C11" s="27" t="n">
        <f aca="false">SUM(C7:C10)</f>
        <v>31969</v>
      </c>
      <c r="D11" s="27" t="n">
        <f aca="false">SUM(D7:D10)</f>
        <v>35188</v>
      </c>
    </row>
    <row r="12" customFormat="false" ht="15" hidden="false" customHeight="true" outlineLevel="0" collapsed="false">
      <c r="F12" s="17" t="s">
        <v>68</v>
      </c>
      <c r="G12" s="25" t="n">
        <v>46246</v>
      </c>
      <c r="H12" s="25" t="n">
        <v>51697</v>
      </c>
    </row>
    <row r="13" customFormat="false" ht="15" hidden="false" customHeight="true" outlineLevel="0" collapsed="false">
      <c r="B13" s="24" t="s">
        <v>69</v>
      </c>
      <c r="F13" s="17" t="s">
        <v>70</v>
      </c>
      <c r="G13" s="25" t="n">
        <v>7153</v>
      </c>
      <c r="H13" s="25" t="n">
        <v>8011</v>
      </c>
    </row>
    <row r="14" customFormat="false" ht="15" hidden="false" customHeight="true" outlineLevel="0" collapsed="false">
      <c r="B14" s="17" t="s">
        <v>71</v>
      </c>
      <c r="C14" s="25" t="n">
        <v>32549</v>
      </c>
      <c r="D14" s="25" t="n">
        <v>33706</v>
      </c>
    </row>
    <row r="15" customFormat="false" ht="15" hidden="false" customHeight="true" outlineLevel="0" collapsed="false">
      <c r="B15" s="17" t="s">
        <v>72</v>
      </c>
      <c r="C15" s="25" t="n">
        <v>0</v>
      </c>
      <c r="D15" s="25" t="n">
        <v>0</v>
      </c>
      <c r="F15" s="26" t="s">
        <v>73</v>
      </c>
      <c r="G15" s="27" t="n">
        <f aca="false">G10+G12+G13</f>
        <v>94093</v>
      </c>
      <c r="H15" s="27" t="n">
        <f aca="false">H10+H12+H13</f>
        <v>102571</v>
      </c>
    </row>
    <row r="16" customFormat="false" ht="15" hidden="false" customHeight="true" outlineLevel="0" collapsed="false">
      <c r="B16" s="26" t="s">
        <v>74</v>
      </c>
      <c r="C16" s="27" t="n">
        <f aca="false">C14-C15</f>
        <v>32549</v>
      </c>
      <c r="D16" s="27" t="n">
        <f aca="false">D14-D15</f>
        <v>33706</v>
      </c>
    </row>
    <row r="17" customFormat="false" ht="15" hidden="false" customHeight="true" outlineLevel="0" collapsed="false">
      <c r="F17" s="24" t="s">
        <v>75</v>
      </c>
    </row>
    <row r="18" customFormat="false" ht="15" hidden="false" customHeight="true" outlineLevel="0" collapsed="false">
      <c r="B18" s="24" t="s">
        <v>76</v>
      </c>
      <c r="F18" s="17" t="s">
        <v>77</v>
      </c>
      <c r="G18" s="25" t="n">
        <v>-130</v>
      </c>
      <c r="H18" s="25" t="n">
        <v>-4021</v>
      </c>
    </row>
    <row r="19" customFormat="false" ht="15" hidden="false" customHeight="true" outlineLevel="0" collapsed="false">
      <c r="B19" s="17" t="s">
        <v>78</v>
      </c>
      <c r="C19" s="25" t="n">
        <v>44309</v>
      </c>
      <c r="D19" s="25" t="n">
        <v>49840</v>
      </c>
      <c r="F19" s="17" t="s">
        <v>79</v>
      </c>
      <c r="G19" s="25" t="n">
        <v>33188</v>
      </c>
      <c r="H19" s="25" t="n">
        <v>40714</v>
      </c>
    </row>
    <row r="20" customFormat="false" ht="15" hidden="false" customHeight="true" outlineLevel="0" collapsed="false">
      <c r="B20" s="17" t="s">
        <v>80</v>
      </c>
      <c r="C20" s="25" t="n">
        <v>18324</v>
      </c>
      <c r="D20" s="25" t="n">
        <v>20530</v>
      </c>
      <c r="F20" s="26" t="s">
        <v>81</v>
      </c>
      <c r="G20" s="27" t="n">
        <f aca="false">G18+G19</f>
        <v>33058</v>
      </c>
      <c r="H20" s="27" t="n">
        <f aca="false">H18+H19</f>
        <v>36693</v>
      </c>
    </row>
    <row r="22" customFormat="false" ht="16.5" hidden="false" customHeight="true" outlineLevel="0" collapsed="false"/>
    <row r="23" customFormat="false" ht="16.5" hidden="false" customHeight="true" outlineLevel="0" collapsed="false">
      <c r="B23" s="10" t="s">
        <v>82</v>
      </c>
      <c r="C23" s="28" t="n">
        <f aca="false">C11+C16+C19+C20</f>
        <v>127151</v>
      </c>
      <c r="D23" s="28" t="n">
        <f aca="false">D11+D16+D19+D20</f>
        <v>139264</v>
      </c>
      <c r="F23" s="10" t="s">
        <v>83</v>
      </c>
      <c r="G23" s="28" t="n">
        <f aca="false">G15+G20</f>
        <v>127151</v>
      </c>
      <c r="H23" s="28" t="n">
        <f aca="false">H15+H20</f>
        <v>139264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5"/>
    <col collapsed="false" customWidth="true" hidden="false" outlineLevel="0" max="3" min="3" style="1" width="16"/>
    <col collapsed="false" customWidth="true" hidden="false" outlineLevel="0" max="4" min="4" style="1" width="14"/>
  </cols>
  <sheetData>
    <row r="2" customFormat="false" ht="22.5" hidden="false" customHeight="true" outlineLevel="0" collapsed="false">
      <c r="B2" s="20" t="s">
        <v>84</v>
      </c>
    </row>
    <row r="3" customFormat="false" ht="14.25" hidden="false" customHeight="true" outlineLevel="0" collapsed="false">
      <c r="B3" s="21" t="s">
        <v>85</v>
      </c>
    </row>
    <row r="5" customFormat="false" ht="16.5" hidden="false" customHeight="true" outlineLevel="0" collapsed="false">
      <c r="B5" s="29" t="s">
        <v>86</v>
      </c>
      <c r="C5" s="29" t="s">
        <v>87</v>
      </c>
      <c r="D5" s="29" t="s">
        <v>88</v>
      </c>
    </row>
    <row r="6" customFormat="false" ht="15" hidden="false" customHeight="true" outlineLevel="0" collapsed="false">
      <c r="B6" s="17" t="s">
        <v>89</v>
      </c>
      <c r="C6" s="25" t="n">
        <v>89490</v>
      </c>
      <c r="D6" s="30" t="n">
        <v>1</v>
      </c>
    </row>
    <row r="7" customFormat="false" ht="15" hidden="false" customHeight="true" outlineLevel="0" collapsed="false">
      <c r="B7" s="17" t="s">
        <v>90</v>
      </c>
      <c r="C7" s="25" t="n">
        <v>48694</v>
      </c>
      <c r="D7" s="31" t="n">
        <f aca="false">IFERROR(C7/$C$6,"")</f>
        <v>0.544127835512348</v>
      </c>
    </row>
    <row r="8" customFormat="false" ht="15" hidden="false" customHeight="true" outlineLevel="0" collapsed="false">
      <c r="B8" s="17" t="s">
        <v>91</v>
      </c>
      <c r="C8" s="25" t="n">
        <v>26802</v>
      </c>
      <c r="D8" s="31" t="n">
        <f aca="false">IFERROR(C8/$C$6,"")</f>
        <v>0.299497150519611</v>
      </c>
    </row>
    <row r="9" customFormat="false" ht="15" hidden="false" customHeight="true" outlineLevel="0" collapsed="false">
      <c r="B9" s="17" t="s">
        <v>92</v>
      </c>
      <c r="C9" s="25" t="n">
        <v>3633</v>
      </c>
      <c r="D9" s="31" t="n">
        <f aca="false">IFERROR(C9/$C$6,"")</f>
        <v>0.0405967147167281</v>
      </c>
    </row>
    <row r="10" customFormat="false" ht="15" hidden="false" customHeight="true" outlineLevel="0" collapsed="false">
      <c r="B10" s="26" t="s">
        <v>93</v>
      </c>
      <c r="C10" s="27" t="n">
        <f aca="false">C6-C7-C8-C9</f>
        <v>10361</v>
      </c>
      <c r="D10" s="31" t="n">
        <f aca="false">IFERROR(C10/$C$6,"")</f>
        <v>0.115778299251313</v>
      </c>
    </row>
    <row r="11" customFormat="false" ht="15" hidden="false" customHeight="true" outlineLevel="0" collapsed="false">
      <c r="B11" s="17" t="s">
        <v>94</v>
      </c>
      <c r="C11" s="25" t="n">
        <v>3138</v>
      </c>
      <c r="D11" s="31" t="n">
        <f aca="false">IFERROR(C11/$C$6,"")</f>
        <v>0.0350653704324506</v>
      </c>
    </row>
    <row r="12" customFormat="false" ht="15" hidden="false" customHeight="true" outlineLevel="0" collapsed="false">
      <c r="B12" s="17" t="s">
        <v>95</v>
      </c>
      <c r="C12" s="25" t="n">
        <v>1826</v>
      </c>
      <c r="D12" s="31" t="n">
        <f aca="false">IFERROR(C12/$C$6,"")</f>
        <v>0.0204045144708906</v>
      </c>
    </row>
    <row r="13" customFormat="false" ht="15" hidden="false" customHeight="true" outlineLevel="0" collapsed="false">
      <c r="B13" s="26" t="s">
        <v>96</v>
      </c>
      <c r="C13" s="27" t="n">
        <f aca="false">C10+C11-C12</f>
        <v>11673</v>
      </c>
      <c r="D13" s="31" t="n">
        <f aca="false">IFERROR(C13/$C$6,"")</f>
        <v>0.130439155212873</v>
      </c>
    </row>
    <row r="14" customFormat="false" ht="15" hidden="false" customHeight="true" outlineLevel="0" collapsed="false">
      <c r="B14" s="17" t="s">
        <v>97</v>
      </c>
      <c r="C14" s="25" t="n">
        <v>2640</v>
      </c>
      <c r="D14" s="31" t="n">
        <f aca="false">IFERROR(C14/$C$6,"")</f>
        <v>0.0295005028494804</v>
      </c>
    </row>
    <row r="15" customFormat="false" ht="16.5" hidden="false" customHeight="true" outlineLevel="0" collapsed="false">
      <c r="B15" s="10" t="s">
        <v>98</v>
      </c>
      <c r="C15" s="28" t="n">
        <f aca="false">C13-C14</f>
        <v>9033</v>
      </c>
      <c r="D15" s="32" t="n">
        <f aca="false">IFERROR(C15/$C$6,"")</f>
        <v>0.100938652363393</v>
      </c>
    </row>
    <row r="17" customFormat="false" ht="15" hidden="false" customHeight="true" outlineLevel="0" collapsed="false">
      <c r="B17" s="24" t="s">
        <v>99</v>
      </c>
    </row>
    <row r="18" customFormat="false" ht="15" hidden="false" customHeight="true" outlineLevel="0" collapsed="false">
      <c r="B18" s="17" t="s">
        <v>100</v>
      </c>
      <c r="C18" s="25" t="n">
        <v>7849</v>
      </c>
      <c r="D18" s="31" t="n">
        <f aca="false">IFERROR(C18/$C$6,"")</f>
        <v>0.0877081238127165</v>
      </c>
    </row>
    <row r="19" customFormat="false" ht="15" hidden="false" customHeight="true" outlineLevel="0" collapsed="false">
      <c r="B19" s="26" t="s">
        <v>101</v>
      </c>
      <c r="C19" s="27" t="n">
        <f aca="false">C15-C18</f>
        <v>1184</v>
      </c>
      <c r="D19" s="31" t="n">
        <f aca="false">IFERROR(C19/$C$6,"")</f>
        <v>0.0132305285506761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23" activePane="bottomRight" state="frozen"/>
      <selection pane="topLeft" activeCell="A1" activeCellId="0" sqref="A1"/>
      <selection pane="topRight" activeCell="B1" activeCellId="0" sqref="B1"/>
      <selection pane="bottomLeft" activeCell="A23" activeCellId="0" sqref="A23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3" min="3" style="1" width="16"/>
    <col collapsed="false" customWidth="true" hidden="false" outlineLevel="0" max="4" min="4" style="1" width="24"/>
  </cols>
  <sheetData>
    <row r="2" customFormat="false" ht="22.5" hidden="false" customHeight="true" outlineLevel="0" collapsed="false">
      <c r="B2" s="20" t="s">
        <v>102</v>
      </c>
    </row>
    <row r="3" customFormat="false" ht="14.25" hidden="false" customHeight="true" outlineLevel="0" collapsed="false">
      <c r="B3" s="21" t="s">
        <v>85</v>
      </c>
    </row>
    <row r="5" customFormat="false" ht="16.5" hidden="false" customHeight="true" outlineLevel="0" collapsed="false">
      <c r="B5" s="29" t="s">
        <v>86</v>
      </c>
      <c r="C5" s="29" t="s">
        <v>87</v>
      </c>
      <c r="D5" s="29" t="s">
        <v>103</v>
      </c>
    </row>
    <row r="6" customFormat="false" ht="15" hidden="false" customHeight="true" outlineLevel="0" collapsed="false">
      <c r="B6" s="24" t="s">
        <v>104</v>
      </c>
      <c r="D6" s="21"/>
    </row>
    <row r="7" customFormat="false" ht="15" hidden="false" customHeight="true" outlineLevel="0" collapsed="false">
      <c r="B7" s="17" t="s">
        <v>105</v>
      </c>
      <c r="C7" s="33" t="n">
        <f aca="false">'Income Statement'!C15</f>
        <v>9033</v>
      </c>
      <c r="D7" s="21" t="s">
        <v>106</v>
      </c>
    </row>
    <row r="8" customFormat="false" ht="15" hidden="false" customHeight="true" outlineLevel="0" collapsed="false">
      <c r="B8" s="17" t="s">
        <v>107</v>
      </c>
      <c r="C8" s="33" t="n">
        <v>3633</v>
      </c>
      <c r="D8" s="21" t="s">
        <v>106</v>
      </c>
    </row>
    <row r="9" customFormat="false" ht="15" hidden="false" customHeight="true" outlineLevel="0" collapsed="false">
      <c r="B9" s="34" t="s">
        <v>108</v>
      </c>
      <c r="D9" s="21"/>
    </row>
    <row r="10" customFormat="false" ht="15" hidden="false" customHeight="true" outlineLevel="0" collapsed="false">
      <c r="B10" s="17" t="s">
        <v>109</v>
      </c>
      <c r="C10" s="25" t="n">
        <v>690</v>
      </c>
      <c r="D10" s="21" t="s">
        <v>110</v>
      </c>
    </row>
    <row r="11" customFormat="false" ht="15" hidden="false" customHeight="true" outlineLevel="0" collapsed="false">
      <c r="B11" s="17" t="s">
        <v>111</v>
      </c>
      <c r="C11" s="25" t="n">
        <v>447</v>
      </c>
      <c r="D11" s="21" t="s">
        <v>110</v>
      </c>
    </row>
    <row r="12" customFormat="false" ht="15" hidden="false" customHeight="true" outlineLevel="0" collapsed="false">
      <c r="B12" s="17" t="s">
        <v>112</v>
      </c>
      <c r="C12" s="25" t="n">
        <v>441</v>
      </c>
      <c r="D12" s="21" t="s">
        <v>110</v>
      </c>
    </row>
    <row r="13" customFormat="false" ht="15" hidden="false" customHeight="true" outlineLevel="0" collapsed="false">
      <c r="B13" s="17" t="s">
        <v>113</v>
      </c>
      <c r="C13" s="25" t="n">
        <v>-1784</v>
      </c>
      <c r="D13" s="21" t="s">
        <v>110</v>
      </c>
    </row>
    <row r="14" customFormat="false" ht="15" hidden="false" customHeight="true" outlineLevel="0" collapsed="false">
      <c r="B14" s="17" t="s">
        <v>114</v>
      </c>
      <c r="C14" s="25" t="n">
        <v>-128</v>
      </c>
      <c r="D14" s="21" t="s">
        <v>110</v>
      </c>
    </row>
    <row r="15" customFormat="false" ht="15" hidden="false" customHeight="true" outlineLevel="0" collapsed="false">
      <c r="B15" s="26" t="s">
        <v>115</v>
      </c>
      <c r="C15" s="27" t="n">
        <f aca="false">SUM(C10:C14)</f>
        <v>-334</v>
      </c>
      <c r="D15" s="21"/>
    </row>
    <row r="16" customFormat="false" ht="16.5" hidden="false" customHeight="true" outlineLevel="0" collapsed="false">
      <c r="B16" s="10" t="s">
        <v>116</v>
      </c>
      <c r="C16" s="28" t="n">
        <v>15904</v>
      </c>
      <c r="D16" s="21"/>
    </row>
    <row r="17" customFormat="false" ht="14.25" hidden="false" customHeight="true" outlineLevel="0" collapsed="false">
      <c r="D17" s="21"/>
    </row>
    <row r="18" customFormat="false" ht="15" hidden="false" customHeight="true" outlineLevel="0" collapsed="false">
      <c r="B18" s="24" t="s">
        <v>117</v>
      </c>
      <c r="D18" s="21"/>
    </row>
    <row r="19" customFormat="false" ht="15" hidden="false" customHeight="true" outlineLevel="0" collapsed="false">
      <c r="B19" s="17" t="s">
        <v>118</v>
      </c>
      <c r="C19" s="25" t="n">
        <v>-4527</v>
      </c>
      <c r="D19" s="21"/>
    </row>
    <row r="20" customFormat="false" ht="15" hidden="false" customHeight="true" outlineLevel="0" collapsed="false">
      <c r="B20" s="17" t="s">
        <v>119</v>
      </c>
      <c r="C20" s="25" t="n">
        <v>-81</v>
      </c>
      <c r="D20" s="21"/>
    </row>
    <row r="21" customFormat="false" ht="15" hidden="false" customHeight="true" outlineLevel="0" collapsed="false">
      <c r="B21" s="17" t="s">
        <v>120</v>
      </c>
      <c r="C21" s="25" t="n">
        <v>241</v>
      </c>
      <c r="D21" s="21"/>
    </row>
    <row r="22" customFormat="false" ht="16.5" hidden="false" customHeight="true" outlineLevel="0" collapsed="false">
      <c r="B22" s="10" t="s">
        <v>121</v>
      </c>
      <c r="C22" s="28" t="n">
        <f aca="false">C19+C20+C21</f>
        <v>-4367</v>
      </c>
      <c r="D22" s="21"/>
    </row>
    <row r="23" customFormat="false" ht="14.25" hidden="false" customHeight="true" outlineLevel="0" collapsed="false">
      <c r="D23" s="21"/>
    </row>
    <row r="24" customFormat="false" ht="15" hidden="false" customHeight="true" outlineLevel="0" collapsed="false">
      <c r="B24" s="24" t="s">
        <v>122</v>
      </c>
      <c r="D24" s="21"/>
    </row>
    <row r="25" customFormat="false" ht="15" hidden="false" customHeight="true" outlineLevel="0" collapsed="false">
      <c r="B25" s="17" t="s">
        <v>123</v>
      </c>
      <c r="C25" s="25" t="n">
        <v>-1036</v>
      </c>
      <c r="D25" s="21"/>
    </row>
    <row r="26" customFormat="false" ht="15" hidden="false" customHeight="true" outlineLevel="0" collapsed="false">
      <c r="B26" s="17" t="s">
        <v>124</v>
      </c>
      <c r="C26" s="25" t="n">
        <v>-1605</v>
      </c>
      <c r="D26" s="21"/>
    </row>
    <row r="27" customFormat="false" ht="15" hidden="false" customHeight="true" outlineLevel="0" collapsed="false">
      <c r="B27" s="17" t="s">
        <v>125</v>
      </c>
      <c r="C27" s="25" t="n">
        <v>-8021</v>
      </c>
      <c r="D27" s="21"/>
    </row>
    <row r="28" customFormat="false" ht="15" hidden="false" customHeight="true" outlineLevel="0" collapsed="false">
      <c r="B28" s="17" t="s">
        <v>126</v>
      </c>
      <c r="C28" s="25" t="n">
        <v>-1403</v>
      </c>
      <c r="D28" s="21"/>
    </row>
    <row r="29" customFormat="false" ht="15" hidden="false" customHeight="true" outlineLevel="0" collapsed="false">
      <c r="B29" s="17" t="s">
        <v>127</v>
      </c>
      <c r="C29" s="25" t="n">
        <v>-435</v>
      </c>
      <c r="D29" s="21"/>
    </row>
    <row r="30" customFormat="false" ht="16.5" hidden="false" customHeight="true" outlineLevel="0" collapsed="false">
      <c r="B30" s="10" t="s">
        <v>128</v>
      </c>
      <c r="C30" s="28" t="n">
        <f aca="false">C25+C26+C27+C28+C29</f>
        <v>-12500</v>
      </c>
      <c r="D30" s="21"/>
    </row>
    <row r="31" customFormat="false" ht="14.25" hidden="false" customHeight="true" outlineLevel="0" collapsed="false">
      <c r="D31" s="21"/>
    </row>
    <row r="32" customFormat="false" ht="16.5" hidden="false" customHeight="true" outlineLevel="0" collapsed="false">
      <c r="B32" s="10" t="s">
        <v>129</v>
      </c>
      <c r="C32" s="28" t="n">
        <f aca="false">C16+C22+C30</f>
        <v>-963</v>
      </c>
      <c r="D32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35" activePane="bottomRight" state="frozen"/>
      <selection pane="topLeft" activeCell="A1" activeCellId="0" sqref="A1"/>
      <selection pane="topRight" activeCell="B1" activeCellId="0" sqref="B1"/>
      <selection pane="bottomLeft" activeCell="A35" activeCellId="0" sqref="A35"/>
      <selection pane="bottomRight" activeCell="F75" activeCellId="0" sqref="F75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16"/>
    <col collapsed="false" customWidth="true" hidden="false" outlineLevel="0" max="4" min="4" style="1" width="62"/>
    <col collapsed="false" customWidth="true" hidden="false" outlineLevel="0" max="5" min="5" style="1" width="36"/>
    <col collapsed="false" customWidth="true" hidden="false" outlineLevel="0" max="6" min="6" style="1" width="28"/>
  </cols>
  <sheetData>
    <row r="2" customFormat="false" ht="22.5" hidden="false" customHeight="true" outlineLevel="0" collapsed="false">
      <c r="B2" s="20" t="s">
        <v>130</v>
      </c>
    </row>
    <row r="3" customFormat="false" ht="14.25" hidden="false" customHeight="true" outlineLevel="0" collapsed="false">
      <c r="B3" s="21" t="s">
        <v>131</v>
      </c>
    </row>
    <row r="5" customFormat="false" ht="16.5" hidden="false" customHeight="true" outlineLevel="0" collapsed="false">
      <c r="B5" s="29" t="s">
        <v>132</v>
      </c>
      <c r="C5" s="29" t="s">
        <v>133</v>
      </c>
      <c r="D5" s="29" t="s">
        <v>134</v>
      </c>
      <c r="E5" s="29" t="s">
        <v>135</v>
      </c>
    </row>
    <row r="6" customFormat="false" ht="15" hidden="false" customHeight="true" outlineLevel="0" collapsed="false">
      <c r="B6" s="17" t="s">
        <v>136</v>
      </c>
      <c r="C6" s="35" t="n">
        <v>2025</v>
      </c>
      <c r="D6" s="36"/>
      <c r="E6" s="36" t="s">
        <v>137</v>
      </c>
    </row>
    <row r="7" customFormat="false" ht="15" hidden="false" customHeight="true" outlineLevel="0" collapsed="false">
      <c r="B7" s="17" t="s">
        <v>138</v>
      </c>
      <c r="C7" s="37" t="n">
        <f aca="false">yearCurrent-1</f>
        <v>2024</v>
      </c>
      <c r="D7" s="36" t="s">
        <v>139</v>
      </c>
      <c r="E7" s="36" t="s">
        <v>140</v>
      </c>
    </row>
    <row r="8" customFormat="false" ht="15" hidden="false" customHeight="true" outlineLevel="0" collapsed="false">
      <c r="B8" s="17" t="s">
        <v>141</v>
      </c>
      <c r="C8" s="38" t="n">
        <v>72.06</v>
      </c>
      <c r="D8" s="36"/>
      <c r="E8" s="36" t="s">
        <v>142</v>
      </c>
    </row>
    <row r="9" customFormat="false" ht="15" hidden="false" customHeight="true" outlineLevel="0" collapsed="false">
      <c r="B9" s="17" t="s">
        <v>143</v>
      </c>
      <c r="C9" s="39" t="n">
        <v>2572</v>
      </c>
      <c r="D9" s="36"/>
      <c r="E9" s="36" t="s">
        <v>144</v>
      </c>
    </row>
    <row r="10" customFormat="false" ht="15" hidden="false" customHeight="true" outlineLevel="0" collapsed="false">
      <c r="B10" s="17" t="s">
        <v>145</v>
      </c>
      <c r="C10" s="40" t="n">
        <v>0.09</v>
      </c>
      <c r="D10" s="36"/>
      <c r="E10" s="36" t="s">
        <v>146</v>
      </c>
    </row>
    <row r="11" customFormat="false" ht="15" hidden="false" customHeight="true" outlineLevel="0" collapsed="false">
      <c r="B11" s="17" t="s">
        <v>147</v>
      </c>
      <c r="C11" s="40" t="n">
        <v>0.246</v>
      </c>
      <c r="D11" s="36"/>
      <c r="E11" s="36" t="s">
        <v>148</v>
      </c>
    </row>
    <row r="12" customFormat="false" ht="15" hidden="false" customHeight="true" outlineLevel="0" collapsed="false">
      <c r="B12" s="17" t="s">
        <v>149</v>
      </c>
      <c r="C12" s="41" t="n">
        <f aca="false">share_price*shares_outstanding</f>
        <v>185338.32</v>
      </c>
      <c r="D12" s="36" t="s">
        <v>150</v>
      </c>
      <c r="E12" s="36" t="s">
        <v>151</v>
      </c>
    </row>
    <row r="14" customFormat="false" ht="16.5" hidden="false" customHeight="true" outlineLevel="0" collapsed="false">
      <c r="B14" s="42" t="s">
        <v>152</v>
      </c>
      <c r="C14" s="42"/>
      <c r="D14" s="42"/>
      <c r="E14" s="42"/>
    </row>
    <row r="15" customFormat="false" ht="15" hidden="false" customHeight="true" outlineLevel="0" collapsed="false">
      <c r="B15" s="17" t="s">
        <v>153</v>
      </c>
      <c r="C15" s="43" t="n">
        <f aca="false">BAL_equity_shareholders_prior</f>
        <v>36693</v>
      </c>
      <c r="D15" s="36" t="s">
        <v>154</v>
      </c>
      <c r="E15" s="36" t="s">
        <v>155</v>
      </c>
    </row>
    <row r="16" customFormat="false" ht="15" hidden="false" customHeight="true" outlineLevel="0" collapsed="false">
      <c r="B16" s="17" t="s">
        <v>156</v>
      </c>
      <c r="C16" s="43" t="n">
        <f aca="false">BAL_inventories_prior</f>
        <v>13260</v>
      </c>
      <c r="D16" s="36" t="s">
        <v>157</v>
      </c>
      <c r="E16" s="36" t="s">
        <v>158</v>
      </c>
    </row>
    <row r="17" customFormat="false" ht="15" hidden="false" customHeight="true" outlineLevel="0" collapsed="false">
      <c r="B17" s="17" t="s">
        <v>159</v>
      </c>
      <c r="C17" s="43" t="n">
        <f aca="false">BAL_receivables_prior</f>
        <v>11251</v>
      </c>
      <c r="D17" s="36" t="s">
        <v>160</v>
      </c>
      <c r="E17" s="36" t="s">
        <v>161</v>
      </c>
    </row>
    <row r="18" customFormat="false" ht="15" hidden="false" customHeight="true" outlineLevel="0" collapsed="false">
      <c r="B18" s="17" t="s">
        <v>162</v>
      </c>
      <c r="C18" s="43" t="n">
        <f aca="false">BAL_assets_total_prior</f>
        <v>139264</v>
      </c>
      <c r="D18" s="36" t="s">
        <v>163</v>
      </c>
      <c r="E18" s="36" t="s">
        <v>164</v>
      </c>
    </row>
    <row r="19" customFormat="false" ht="15" hidden="false" customHeight="true" outlineLevel="0" collapsed="false">
      <c r="B19" s="17" t="s">
        <v>165</v>
      </c>
      <c r="C19" s="43" t="n">
        <f aca="false">BAL_debt_long_term_prior+BAL_equity_shareholders_prior</f>
        <v>88390</v>
      </c>
      <c r="D19" s="36" t="s">
        <v>166</v>
      </c>
      <c r="E19" s="36" t="s">
        <v>167</v>
      </c>
    </row>
    <row r="21" customFormat="false" ht="16.5" hidden="false" customHeight="true" outlineLevel="0" collapsed="false">
      <c r="B21" s="42" t="s">
        <v>168</v>
      </c>
      <c r="C21" s="42"/>
      <c r="D21" s="42"/>
      <c r="E21" s="42"/>
    </row>
    <row r="22" customFormat="false" ht="15" hidden="false" customHeight="true" outlineLevel="0" collapsed="false">
      <c r="B22" s="17" t="s">
        <v>169</v>
      </c>
      <c r="C22" s="43" t="n">
        <f aca="false">INC_net+(1-tax_rate)*INC_interest_expense</f>
        <v>10409.804</v>
      </c>
      <c r="D22" s="36" t="s">
        <v>170</v>
      </c>
      <c r="E22" s="36" t="s">
        <v>171</v>
      </c>
    </row>
    <row r="23" customFormat="false" ht="15" hidden="false" customHeight="true" outlineLevel="0" collapsed="false">
      <c r="B23" s="17" t="s">
        <v>172</v>
      </c>
      <c r="C23" s="44" t="n">
        <f aca="false">IFERROR(INC_sales/365,"")</f>
        <v>245.178082191781</v>
      </c>
      <c r="D23" s="36" t="s">
        <v>173</v>
      </c>
      <c r="E23" s="36" t="s">
        <v>174</v>
      </c>
    </row>
    <row r="24" customFormat="false" ht="15" hidden="false" customHeight="true" outlineLevel="0" collapsed="false">
      <c r="B24" s="17" t="s">
        <v>175</v>
      </c>
      <c r="C24" s="43" t="n">
        <f aca="false">BAL_equity_shareholders_curr</f>
        <v>33058</v>
      </c>
      <c r="D24" s="36" t="s">
        <v>176</v>
      </c>
      <c r="E24" s="36" t="s">
        <v>177</v>
      </c>
    </row>
    <row r="25" customFormat="false" ht="15" hidden="false" customHeight="true" outlineLevel="0" collapsed="false">
      <c r="B25" s="17" t="s">
        <v>178</v>
      </c>
      <c r="C25" s="43" t="n">
        <f aca="false">BAL_cash_marketable_securities_curr</f>
        <v>6230</v>
      </c>
      <c r="D25" s="36" t="s">
        <v>179</v>
      </c>
      <c r="E25" s="36" t="s">
        <v>180</v>
      </c>
    </row>
    <row r="26" customFormat="false" ht="15" hidden="false" customHeight="true" outlineLevel="0" collapsed="false">
      <c r="B26" s="17" t="s">
        <v>181</v>
      </c>
      <c r="C26" s="43" t="n">
        <f aca="false">BAL_assets_current_curr</f>
        <v>31969</v>
      </c>
      <c r="D26" s="36" t="s">
        <v>182</v>
      </c>
      <c r="E26" s="36" t="s">
        <v>183</v>
      </c>
    </row>
    <row r="27" customFormat="false" ht="15" hidden="false" customHeight="true" outlineLevel="0" collapsed="false">
      <c r="B27" s="17" t="s">
        <v>184</v>
      </c>
      <c r="C27" s="43" t="n">
        <f aca="false">BAL_liabilities_current_curr</f>
        <v>40694</v>
      </c>
      <c r="D27" s="36" t="s">
        <v>185</v>
      </c>
      <c r="E27" s="36" t="s">
        <v>186</v>
      </c>
    </row>
    <row r="28" customFormat="false" ht="15" hidden="false" customHeight="true" outlineLevel="0" collapsed="false">
      <c r="B28" s="17" t="s">
        <v>187</v>
      </c>
      <c r="C28" s="44" t="n">
        <f aca="false">IFERROR(INC_cost_goods_sold/365,"")</f>
        <v>133.408219178082</v>
      </c>
      <c r="D28" s="36" t="s">
        <v>188</v>
      </c>
      <c r="E28" s="36" t="s">
        <v>189</v>
      </c>
    </row>
    <row r="29" customFormat="false" ht="15" hidden="false" customHeight="true" outlineLevel="0" collapsed="false">
      <c r="B29" s="17" t="s">
        <v>68</v>
      </c>
      <c r="C29" s="43" t="n">
        <f aca="false">BAL_debt_long_term_curr</f>
        <v>46246</v>
      </c>
      <c r="D29" s="36" t="s">
        <v>190</v>
      </c>
      <c r="E29" s="36" t="s">
        <v>191</v>
      </c>
    </row>
    <row r="30" customFormat="false" ht="15" hidden="false" customHeight="true" outlineLevel="0" collapsed="false">
      <c r="B30" s="17" t="s">
        <v>192</v>
      </c>
      <c r="C30" s="43" t="n">
        <f aca="false">BAL_assets_current_curr-BAL_liabilities_current_curr</f>
        <v>-8725</v>
      </c>
      <c r="D30" s="36" t="s">
        <v>193</v>
      </c>
      <c r="E30" s="36" t="s">
        <v>194</v>
      </c>
    </row>
    <row r="31" customFormat="false" ht="15" hidden="false" customHeight="true" outlineLevel="0" collapsed="false">
      <c r="B31" s="17" t="s">
        <v>195</v>
      </c>
      <c r="C31" s="43" t="n">
        <f aca="false">BAL_assets_total_curr</f>
        <v>127151</v>
      </c>
      <c r="D31" s="36" t="s">
        <v>196</v>
      </c>
      <c r="E31" s="36" t="s">
        <v>197</v>
      </c>
    </row>
    <row r="32" customFormat="false" ht="15" hidden="false" customHeight="true" outlineLevel="0" collapsed="false">
      <c r="B32" s="17" t="s">
        <v>198</v>
      </c>
      <c r="C32" s="43" t="n">
        <f aca="false">BAL_debt_long_term_curr+BAL_equity_shareholders_curr</f>
        <v>79304</v>
      </c>
      <c r="D32" s="36" t="s">
        <v>199</v>
      </c>
      <c r="E32" s="36" t="s">
        <v>200</v>
      </c>
    </row>
    <row r="33" customFormat="false" ht="15" hidden="false" customHeight="true" outlineLevel="0" collapsed="false">
      <c r="B33" s="17" t="s">
        <v>201</v>
      </c>
      <c r="C33" s="43" t="n">
        <f aca="false">BAL_liabilities_total_curr</f>
        <v>94093</v>
      </c>
      <c r="D33" s="36" t="s">
        <v>202</v>
      </c>
      <c r="E33" s="36" t="s">
        <v>203</v>
      </c>
    </row>
    <row r="35" customFormat="false" ht="16.5" hidden="false" customHeight="true" outlineLevel="0" collapsed="false">
      <c r="B35" s="42" t="s">
        <v>204</v>
      </c>
      <c r="C35" s="42"/>
      <c r="D35" s="42"/>
      <c r="E35" s="42"/>
    </row>
    <row r="36" customFormat="false" ht="15" hidden="false" customHeight="true" outlineLevel="0" collapsed="false">
      <c r="B36" s="17" t="s">
        <v>205</v>
      </c>
      <c r="C36" s="44" t="n">
        <f aca="false">AVERAGE(startYear_equity,currentYear_equity)</f>
        <v>34875.5</v>
      </c>
      <c r="D36" s="36" t="s">
        <v>206</v>
      </c>
      <c r="E36" s="36" t="s">
        <v>207</v>
      </c>
    </row>
    <row r="37" customFormat="false" ht="15" hidden="false" customHeight="true" outlineLevel="0" collapsed="false">
      <c r="B37" s="17" t="s">
        <v>208</v>
      </c>
      <c r="C37" s="44" t="n">
        <f aca="false">AVERAGE(startYear_total_assets,currentYear_assets_total)</f>
        <v>133207.5</v>
      </c>
      <c r="D37" s="36" t="s">
        <v>209</v>
      </c>
      <c r="E37" s="36" t="s">
        <v>210</v>
      </c>
    </row>
    <row r="38" customFormat="false" ht="15" hidden="false" customHeight="true" outlineLevel="0" collapsed="false">
      <c r="B38" s="17" t="s">
        <v>211</v>
      </c>
      <c r="C38" s="44" t="n">
        <f aca="false">AVERAGE(startYear_total_capitalization,currentYear_total_capitalization)</f>
        <v>83847</v>
      </c>
      <c r="D38" s="36" t="s">
        <v>212</v>
      </c>
      <c r="E38" s="36" t="s">
        <v>213</v>
      </c>
    </row>
    <row r="41" customFormat="false" ht="16.5" hidden="false" customHeight="true" outlineLevel="0" collapsed="false">
      <c r="B41" s="29" t="s">
        <v>214</v>
      </c>
      <c r="C41" s="29" t="s">
        <v>215</v>
      </c>
      <c r="D41" s="29" t="s">
        <v>216</v>
      </c>
      <c r="E41" s="29" t="s">
        <v>135</v>
      </c>
      <c r="F41" s="29" t="s">
        <v>217</v>
      </c>
    </row>
    <row r="42" customFormat="false" ht="16.5" hidden="false" customHeight="true" outlineLevel="0" collapsed="false">
      <c r="B42" s="10" t="s">
        <v>218</v>
      </c>
      <c r="C42" s="2"/>
      <c r="D42" s="2"/>
      <c r="E42" s="2"/>
    </row>
    <row r="43" customFormat="false" ht="15" hidden="false" customHeight="true" outlineLevel="0" collapsed="false">
      <c r="B43" s="17" t="s">
        <v>219</v>
      </c>
      <c r="C43" s="45"/>
      <c r="D43" s="36" t="s">
        <v>220</v>
      </c>
      <c r="E43" s="36"/>
    </row>
    <row r="44" customFormat="false" ht="15" hidden="false" customHeight="true" outlineLevel="0" collapsed="false">
      <c r="B44" s="17" t="s">
        <v>221</v>
      </c>
      <c r="C44" s="46"/>
      <c r="D44" s="36" t="s">
        <v>222</v>
      </c>
      <c r="E44" s="36"/>
    </row>
    <row r="45" customFormat="false" ht="15" hidden="false" customHeight="true" outlineLevel="0" collapsed="false">
      <c r="B45" s="17" t="s">
        <v>223</v>
      </c>
      <c r="C45" s="45"/>
      <c r="D45" s="36" t="s">
        <v>224</v>
      </c>
      <c r="E45" s="36"/>
    </row>
    <row r="46" customFormat="false" ht="16.5" hidden="false" customHeight="true" outlineLevel="0" collapsed="false">
      <c r="B46" s="10" t="s">
        <v>225</v>
      </c>
      <c r="C46" s="2"/>
      <c r="D46" s="2"/>
      <c r="E46" s="2"/>
    </row>
    <row r="47" customFormat="false" ht="15" hidden="false" customHeight="true" outlineLevel="0" collapsed="false">
      <c r="B47" s="17" t="s">
        <v>226</v>
      </c>
      <c r="C47" s="47"/>
      <c r="D47" s="36" t="s">
        <v>227</v>
      </c>
      <c r="E47" s="36"/>
    </row>
    <row r="48" customFormat="false" ht="15" hidden="false" customHeight="true" outlineLevel="0" collapsed="false">
      <c r="B48" s="17" t="s">
        <v>228</v>
      </c>
      <c r="C48" s="47"/>
      <c r="D48" s="36" t="s">
        <v>229</v>
      </c>
      <c r="E48" s="36"/>
    </row>
    <row r="49" customFormat="false" ht="15" hidden="false" customHeight="true" outlineLevel="0" collapsed="false">
      <c r="B49" s="17" t="s">
        <v>230</v>
      </c>
      <c r="C49" s="47"/>
      <c r="D49" s="36" t="s">
        <v>231</v>
      </c>
      <c r="E49" s="36"/>
    </row>
    <row r="50" customFormat="false" ht="15" hidden="false" customHeight="true" outlineLevel="0" collapsed="false">
      <c r="B50" s="17" t="s">
        <v>232</v>
      </c>
      <c r="C50" s="47"/>
      <c r="D50" s="36" t="s">
        <v>233</v>
      </c>
      <c r="E50" s="36"/>
    </row>
    <row r="51" customFormat="false" ht="15" hidden="false" customHeight="true" outlineLevel="0" collapsed="false">
      <c r="B51" s="17" t="s">
        <v>234</v>
      </c>
      <c r="C51" s="47"/>
      <c r="D51" s="36" t="s">
        <v>235</v>
      </c>
      <c r="E51" s="36"/>
    </row>
    <row r="52" customFormat="false" ht="15" hidden="false" customHeight="true" outlineLevel="0" collapsed="false">
      <c r="B52" s="17" t="s">
        <v>236</v>
      </c>
      <c r="C52" s="47"/>
      <c r="D52" s="36" t="s">
        <v>237</v>
      </c>
      <c r="E52" s="36"/>
    </row>
    <row r="53" customFormat="false" ht="16.5" hidden="false" customHeight="true" outlineLevel="0" collapsed="false">
      <c r="B53" s="10" t="s">
        <v>238</v>
      </c>
      <c r="C53" s="2"/>
      <c r="D53" s="2"/>
      <c r="E53" s="2"/>
    </row>
    <row r="54" customFormat="false" ht="15" hidden="false" customHeight="true" outlineLevel="0" collapsed="false">
      <c r="B54" s="17" t="s">
        <v>239</v>
      </c>
      <c r="C54" s="46"/>
      <c r="D54" s="36" t="s">
        <v>240</v>
      </c>
      <c r="E54" s="36" t="s">
        <v>241</v>
      </c>
    </row>
    <row r="55" customFormat="false" ht="15" hidden="false" customHeight="true" outlineLevel="0" collapsed="false">
      <c r="B55" s="17" t="s">
        <v>242</v>
      </c>
      <c r="C55" s="46"/>
      <c r="D55" s="36" t="s">
        <v>243</v>
      </c>
      <c r="E55" s="36"/>
    </row>
    <row r="56" customFormat="false" ht="15" hidden="false" customHeight="true" outlineLevel="0" collapsed="false">
      <c r="B56" s="17" t="s">
        <v>244</v>
      </c>
      <c r="C56" s="48"/>
      <c r="D56" s="36" t="s">
        <v>245</v>
      </c>
      <c r="E56" s="36"/>
    </row>
    <row r="57" customFormat="false" ht="15" hidden="false" customHeight="true" outlineLevel="0" collapsed="false">
      <c r="B57" s="17" t="s">
        <v>246</v>
      </c>
      <c r="C57" s="46"/>
      <c r="D57" s="36" t="s">
        <v>247</v>
      </c>
      <c r="E57" s="36"/>
    </row>
    <row r="58" customFormat="false" ht="15" hidden="false" customHeight="true" outlineLevel="0" collapsed="false">
      <c r="B58" s="17" t="s">
        <v>248</v>
      </c>
      <c r="C58" s="48"/>
      <c r="D58" s="36" t="s">
        <v>249</v>
      </c>
      <c r="E58" s="36"/>
    </row>
    <row r="59" customFormat="false" ht="15" hidden="false" customHeight="true" outlineLevel="0" collapsed="false">
      <c r="B59" s="17" t="s">
        <v>250</v>
      </c>
      <c r="C59" s="47"/>
      <c r="D59" s="36" t="s">
        <v>251</v>
      </c>
      <c r="E59" s="36"/>
    </row>
    <row r="60" customFormat="false" ht="15" hidden="false" customHeight="true" outlineLevel="0" collapsed="false">
      <c r="B60" s="17" t="s">
        <v>252</v>
      </c>
      <c r="C60" s="47"/>
      <c r="D60" s="36" t="s">
        <v>253</v>
      </c>
      <c r="E60" s="36" t="s">
        <v>254</v>
      </c>
    </row>
    <row r="61" customFormat="false" ht="16.5" hidden="false" customHeight="true" outlineLevel="0" collapsed="false">
      <c r="B61" s="10" t="s">
        <v>255</v>
      </c>
      <c r="C61" s="2"/>
      <c r="D61" s="2"/>
      <c r="E61" s="2"/>
    </row>
    <row r="62" customFormat="false" ht="15" hidden="false" customHeight="true" outlineLevel="0" collapsed="false">
      <c r="B62" s="17" t="s">
        <v>256</v>
      </c>
      <c r="C62" s="47"/>
      <c r="D62" s="36" t="s">
        <v>257</v>
      </c>
      <c r="E62" s="36"/>
    </row>
    <row r="63" customFormat="false" ht="15" hidden="false" customHeight="true" outlineLevel="0" collapsed="false">
      <c r="B63" s="17" t="s">
        <v>258</v>
      </c>
      <c r="C63" s="46"/>
      <c r="D63" s="36" t="s">
        <v>259</v>
      </c>
      <c r="E63" s="36"/>
    </row>
    <row r="64" customFormat="false" ht="15" hidden="false" customHeight="true" outlineLevel="0" collapsed="false">
      <c r="B64" s="17" t="s">
        <v>260</v>
      </c>
      <c r="C64" s="47"/>
      <c r="D64" s="36" t="s">
        <v>261</v>
      </c>
      <c r="E64" s="36"/>
    </row>
    <row r="65" customFormat="false" ht="15" hidden="false" customHeight="true" outlineLevel="0" collapsed="false">
      <c r="B65" s="17" t="s">
        <v>262</v>
      </c>
      <c r="C65" s="46"/>
      <c r="D65" s="36" t="s">
        <v>263</v>
      </c>
      <c r="E65" s="36"/>
    </row>
    <row r="66" customFormat="false" ht="15" hidden="false" customHeight="true" outlineLevel="0" collapsed="false">
      <c r="B66" s="17" t="s">
        <v>264</v>
      </c>
      <c r="C66" s="46"/>
      <c r="D66" s="36" t="s">
        <v>265</v>
      </c>
      <c r="E66" s="36"/>
    </row>
    <row r="67" customFormat="false" ht="15" hidden="false" customHeight="true" outlineLevel="0" collapsed="false">
      <c r="B67" s="17" t="s">
        <v>266</v>
      </c>
      <c r="C67" s="49"/>
      <c r="D67" s="36" t="s">
        <v>267</v>
      </c>
      <c r="E67" s="36" t="s">
        <v>268</v>
      </c>
    </row>
    <row r="68" customFormat="false" ht="15" hidden="false" customHeight="true" outlineLevel="0" collapsed="false">
      <c r="B68" s="17" t="s">
        <v>269</v>
      </c>
      <c r="C68" s="46"/>
      <c r="D68" s="36" t="s">
        <v>270</v>
      </c>
      <c r="E68" s="36" t="s">
        <v>271</v>
      </c>
    </row>
    <row r="69" customFormat="false" ht="16.5" hidden="false" customHeight="true" outlineLevel="0" collapsed="false">
      <c r="B69" s="10" t="s">
        <v>272</v>
      </c>
      <c r="C69" s="2"/>
      <c r="D69" s="2"/>
      <c r="E69" s="2"/>
    </row>
    <row r="70" customFormat="false" ht="15" hidden="false" customHeight="true" outlineLevel="0" collapsed="false">
      <c r="B70" s="17" t="s">
        <v>273</v>
      </c>
      <c r="C70" s="47"/>
      <c r="D70" s="36" t="s">
        <v>274</v>
      </c>
      <c r="E70" s="36"/>
    </row>
    <row r="71" customFormat="false" ht="15" hidden="false" customHeight="true" outlineLevel="0" collapsed="false">
      <c r="B71" s="17" t="s">
        <v>275</v>
      </c>
      <c r="C71" s="46"/>
      <c r="D71" s="36" t="s">
        <v>276</v>
      </c>
      <c r="E71" s="36"/>
    </row>
    <row r="72" customFormat="false" ht="15" hidden="false" customHeight="true" outlineLevel="0" collapsed="false">
      <c r="B72" s="17" t="s">
        <v>277</v>
      </c>
      <c r="C72" s="46"/>
      <c r="D72" s="36" t="s">
        <v>278</v>
      </c>
      <c r="E72" s="36"/>
    </row>
    <row r="73" customFormat="false" ht="15" hidden="false" customHeight="true" outlineLevel="0" collapsed="false">
      <c r="B73" s="17" t="s">
        <v>279</v>
      </c>
      <c r="C73" s="46"/>
      <c r="D73" s="36" t="s">
        <v>280</v>
      </c>
      <c r="E73" s="36"/>
    </row>
    <row r="74" customFormat="false" ht="16.5" hidden="false" customHeight="true" outlineLevel="0" collapsed="false">
      <c r="B74" s="10" t="s">
        <v>281</v>
      </c>
      <c r="C74" s="2"/>
      <c r="D74" s="2"/>
      <c r="E74" s="2"/>
    </row>
    <row r="75" customFormat="false" ht="15" hidden="false" customHeight="true" outlineLevel="0" collapsed="false">
      <c r="B75" s="17" t="s">
        <v>282</v>
      </c>
      <c r="C75" s="47"/>
      <c r="D75" s="36" t="s">
        <v>283</v>
      </c>
      <c r="E75" s="36"/>
      <c r="F75" s="50" t="str">
        <f aca="false">IF(OR(C75="",C47=""),"",IF(ROUND(C75,6)=ROUND(C47,6),"✓ matches direct ROA","✗ differs by "&amp;TEXT(ABS(C75-C47),"0.00%")))</f>
        <v/>
      </c>
    </row>
    <row r="76" customFormat="false" ht="15" hidden="false" customHeight="true" outlineLevel="0" collapsed="false">
      <c r="B76" s="17" t="s">
        <v>284</v>
      </c>
      <c r="C76" s="47"/>
      <c r="D76" s="36" t="s">
        <v>285</v>
      </c>
      <c r="E76" s="36"/>
    </row>
  </sheetData>
  <mergeCells count="3">
    <mergeCell ref="B14:E14"/>
    <mergeCell ref="B21:E21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3.91"/>
    <col collapsed="false" customWidth="true" hidden="false" outlineLevel="0" max="2" min="2" style="1" width="28"/>
    <col collapsed="false" customWidth="true" hidden="false" outlineLevel="0" max="3" min="3" style="1" width="70"/>
  </cols>
  <sheetData>
    <row r="2" customFormat="false" ht="22.5" hidden="false" customHeight="true" outlineLevel="0" collapsed="false">
      <c r="B2" s="20" t="s">
        <v>286</v>
      </c>
    </row>
    <row r="4" customFormat="false" ht="14.25" hidden="false" customHeight="true" outlineLevel="0" collapsed="false">
      <c r="B4" s="51" t="s">
        <v>287</v>
      </c>
      <c r="C4" s="9" t="s">
        <v>288</v>
      </c>
    </row>
    <row r="5" customFormat="false" ht="14.25" hidden="false" customHeight="true" outlineLevel="0" collapsed="false">
      <c r="B5" s="51" t="s">
        <v>289</v>
      </c>
      <c r="C5" s="9" t="s">
        <v>290</v>
      </c>
    </row>
    <row r="6" customFormat="false" ht="14.25" hidden="false" customHeight="true" outlineLevel="0" collapsed="false">
      <c r="B6" s="51" t="s">
        <v>291</v>
      </c>
      <c r="C6" s="9" t="s">
        <v>292</v>
      </c>
    </row>
    <row r="7" customFormat="false" ht="14.25" hidden="false" customHeight="true" outlineLevel="0" collapsed="false">
      <c r="B7" s="51" t="s">
        <v>293</v>
      </c>
      <c r="C7" s="9" t="s">
        <v>294</v>
      </c>
    </row>
    <row r="8" customFormat="false" ht="14.25" hidden="false" customHeight="true" outlineLevel="0" collapsed="false">
      <c r="B8" s="51" t="s">
        <v>295</v>
      </c>
      <c r="C8" s="9" t="s">
        <v>296</v>
      </c>
    </row>
    <row r="9" customFormat="false" ht="23.25" hidden="false" customHeight="true" outlineLevel="0" collapsed="false">
      <c r="B9" s="51" t="s">
        <v>297</v>
      </c>
      <c r="C9" s="9" t="s">
        <v>298</v>
      </c>
    </row>
    <row r="10" customFormat="false" ht="14.25" hidden="false" customHeight="true" outlineLevel="0" collapsed="false">
      <c r="B10" s="51" t="s">
        <v>299</v>
      </c>
      <c r="C10" s="9" t="s">
        <v>52</v>
      </c>
    </row>
    <row r="11" customFormat="false" ht="23.25" hidden="false" customHeight="true" outlineLevel="0" collapsed="false">
      <c r="B11" s="51" t="s">
        <v>300</v>
      </c>
      <c r="C11" s="9" t="s">
        <v>301</v>
      </c>
    </row>
    <row r="12" customFormat="false" ht="23.25" hidden="false" customHeight="true" outlineLevel="0" collapsed="false">
      <c r="B12" s="51" t="s">
        <v>302</v>
      </c>
      <c r="C12" s="9" t="s">
        <v>303</v>
      </c>
    </row>
    <row r="13" customFormat="false" ht="14.25" hidden="false" customHeight="true" outlineLevel="0" collapsed="false">
      <c r="B13" s="51" t="s">
        <v>304</v>
      </c>
      <c r="C13" s="9" t="s">
        <v>305</v>
      </c>
    </row>
    <row r="14" customFormat="false" ht="14.25" hidden="false" customHeight="true" outlineLevel="0" collapsed="false">
      <c r="B14" s="51" t="s">
        <v>306</v>
      </c>
      <c r="C14" s="9" t="s">
        <v>307</v>
      </c>
    </row>
    <row r="16" customFormat="false" ht="14.25" hidden="false" customHeight="true" outlineLevel="0" collapsed="false">
      <c r="B16" s="51" t="s">
        <v>308</v>
      </c>
      <c r="C16" s="9" t="s">
        <v>309</v>
      </c>
    </row>
    <row r="17" customFormat="false" ht="28.5" hidden="false" customHeight="true" outlineLevel="0" collapsed="false">
      <c r="B17" s="51" t="s">
        <v>310</v>
      </c>
      <c r="C17" s="9" t="s">
        <v>311</v>
      </c>
    </row>
    <row r="18" customFormat="false" ht="28.5" hidden="false" customHeight="true" outlineLevel="0" collapsed="false">
      <c r="B18" s="51" t="s">
        <v>312</v>
      </c>
      <c r="C18" s="9" t="s">
        <v>313</v>
      </c>
    </row>
    <row r="19" customFormat="false" ht="28.5" hidden="false" customHeight="true" outlineLevel="0" collapsed="false">
      <c r="B19" s="51" t="s">
        <v>314</v>
      </c>
      <c r="C19" s="9" t="s">
        <v>315</v>
      </c>
    </row>
    <row r="20" customFormat="false" ht="28.5" hidden="false" customHeight="true" outlineLevel="0" collapsed="false">
      <c r="B20" s="51" t="s">
        <v>316</v>
      </c>
      <c r="C20" s="9" t="s">
        <v>317</v>
      </c>
    </row>
    <row r="22" customFormat="false" ht="14.25" hidden="false" customHeight="true" outlineLevel="0" collapsed="false">
      <c r="B22" s="51" t="s">
        <v>318</v>
      </c>
    </row>
    <row r="23" customFormat="false" ht="31.5" hidden="false" customHeight="true" outlineLevel="0" collapsed="false">
      <c r="B23" s="51" t="s">
        <v>319</v>
      </c>
      <c r="C23" s="9" t="s">
        <v>320</v>
      </c>
    </row>
    <row r="24" customFormat="false" ht="45" hidden="false" customHeight="true" outlineLevel="0" collapsed="false">
      <c r="B24" s="51" t="s">
        <v>321</v>
      </c>
      <c r="C24" s="9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2026-04-24T19:43:19Z</dcterms:created>
  <dc:creator>openpyxl</dc:creator>
  <dc:description/>
  <dc:language>en-US</dc:language>
  <cp:lastModifiedBy>Adam Stauffer</cp:lastModifiedBy>
  <dcterms:modified xsi:type="dcterms:W3CDTF">2026-05-20T02:56:48Z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